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f60bfd5c86354ea/ASAD - This PC/Organised Files/02 Finance - Modelling and Case Studies/costco portfolio/"/>
    </mc:Choice>
  </mc:AlternateContent>
  <xr:revisionPtr revIDLastSave="185" documentId="8_{4320F3C0-2410-44BD-95D0-5C8CCA30B0FA}" xr6:coauthVersionLast="47" xr6:coauthVersionMax="47" xr10:uidLastSave="{4F263EE2-2CE4-497C-A228-A65EDB207E0F}"/>
  <bookViews>
    <workbookView xWindow="-120" yWindow="-120" windowWidth="29040" windowHeight="15720" xr2:uid="{675B569A-7FCE-41E9-82B0-63DD2064E8ED}"/>
  </bookViews>
  <sheets>
    <sheet name="DCF Fill in " sheetId="10" r:id="rId1"/>
    <sheet name="1)FCF" sheetId="2" r:id="rId2"/>
    <sheet name="2)WACC" sheetId="4" r:id="rId3"/>
    <sheet name="Data sources" sheetId="6" r:id="rId4"/>
    <sheet name="IS" sheetId="7" r:id="rId5"/>
    <sheet name="BS" sheetId="8" r:id="rId6"/>
    <sheet name="CFS" sheetId="9" r:id="rId7"/>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2" i="10" l="1"/>
  <c r="H12" i="10"/>
  <c r="G12" i="10"/>
  <c r="F17" i="10"/>
  <c r="F16" i="10"/>
  <c r="F14" i="10"/>
  <c r="F13" i="10"/>
  <c r="K12" i="10"/>
  <c r="C17" i="10"/>
  <c r="C16" i="10"/>
  <c r="C13" i="10"/>
  <c r="C14" i="10" s="1"/>
  <c r="C12" i="10"/>
  <c r="K7" i="10" s="1"/>
  <c r="G17" i="2"/>
  <c r="F17" i="2"/>
  <c r="C6" i="2"/>
  <c r="F21" i="2"/>
  <c r="G4" i="10" s="1"/>
  <c r="F18" i="2"/>
  <c r="K4" i="10"/>
  <c r="J4" i="10"/>
  <c r="I4" i="10"/>
  <c r="H4" i="10"/>
  <c r="J21" i="2"/>
  <c r="I21" i="2"/>
  <c r="H21" i="2"/>
  <c r="G21" i="2"/>
  <c r="E21" i="2"/>
  <c r="F16" i="2"/>
  <c r="F15" i="2"/>
  <c r="C17" i="4"/>
  <c r="C19" i="4"/>
  <c r="C16" i="4"/>
  <c r="C14" i="4"/>
  <c r="H16" i="2"/>
  <c r="G16" i="2"/>
  <c r="F12" i="2"/>
  <c r="J17" i="2"/>
  <c r="I17" i="2"/>
  <c r="H17" i="2"/>
  <c r="E17" i="2"/>
  <c r="F13" i="2"/>
  <c r="F14" i="2"/>
  <c r="F20" i="2"/>
  <c r="F19" i="2"/>
  <c r="G14" i="2"/>
  <c r="G19" i="2"/>
  <c r="H19" i="2"/>
  <c r="J19" i="2"/>
  <c r="I19" i="2"/>
  <c r="J20" i="2"/>
  <c r="I20" i="2"/>
  <c r="G20" i="2"/>
  <c r="H20" i="2"/>
  <c r="J18" i="2"/>
  <c r="I18" i="2"/>
  <c r="H18" i="2"/>
  <c r="G18" i="2"/>
  <c r="T29" i="2"/>
  <c r="X31" i="2"/>
  <c r="X36" i="2" s="1"/>
  <c r="W31" i="2"/>
  <c r="W36" i="2" s="1"/>
  <c r="V31" i="2"/>
  <c r="V36" i="2" s="1"/>
  <c r="U31" i="2"/>
  <c r="U36" i="2"/>
  <c r="T31" i="2"/>
  <c r="T32" i="2"/>
  <c r="U32" i="2"/>
  <c r="V32" i="2"/>
  <c r="W32" i="2"/>
  <c r="X32" i="2"/>
  <c r="V51" i="2"/>
  <c r="W51" i="2" s="1"/>
  <c r="X51" i="2" s="1"/>
  <c r="X35" i="2" s="1"/>
  <c r="U51" i="2"/>
  <c r="V50" i="2"/>
  <c r="W50" i="2" s="1"/>
  <c r="U50" i="2"/>
  <c r="V49" i="2"/>
  <c r="W49" i="2" s="1"/>
  <c r="X49" i="2" s="1"/>
  <c r="U49" i="2"/>
  <c r="V48" i="2"/>
  <c r="W48" i="2" s="1"/>
  <c r="X48" i="2" s="1"/>
  <c r="U48" i="2"/>
  <c r="U47" i="2"/>
  <c r="V47" i="2" s="1"/>
  <c r="W47" i="2" s="1"/>
  <c r="T47" i="2"/>
  <c r="V45" i="2"/>
  <c r="W45" i="2" s="1"/>
  <c r="X45" i="2" s="1"/>
  <c r="U45" i="2"/>
  <c r="X44" i="2"/>
  <c r="V44" i="2"/>
  <c r="W44" i="2" s="1"/>
  <c r="U44" i="2"/>
  <c r="X43" i="2"/>
  <c r="W43" i="2"/>
  <c r="W26" i="2" s="1"/>
  <c r="V34" i="2"/>
  <c r="U34" i="2"/>
  <c r="T34" i="2"/>
  <c r="T33" i="2"/>
  <c r="S48" i="2"/>
  <c r="R48" i="2"/>
  <c r="R47" i="2"/>
  <c r="R49" i="2"/>
  <c r="R50" i="2"/>
  <c r="R45" i="2"/>
  <c r="R44" i="2"/>
  <c r="X26" i="2"/>
  <c r="V26" i="2"/>
  <c r="U26" i="2"/>
  <c r="T26" i="2"/>
  <c r="J16" i="2"/>
  <c r="I16" i="2"/>
  <c r="H14" i="2"/>
  <c r="J14" i="2"/>
  <c r="I14" i="2"/>
  <c r="Q45" i="2"/>
  <c r="S45" i="2"/>
  <c r="R43" i="2"/>
  <c r="P50" i="2"/>
  <c r="P44" i="2"/>
  <c r="J28" i="2"/>
  <c r="I28" i="2"/>
  <c r="C28" i="2"/>
  <c r="H28" i="2"/>
  <c r="G28" i="2"/>
  <c r="F28" i="2"/>
  <c r="E28" i="2"/>
  <c r="D28" i="2"/>
  <c r="J13" i="2"/>
  <c r="G13" i="2"/>
  <c r="J12" i="2"/>
  <c r="G12" i="2"/>
  <c r="W12" i="2"/>
  <c r="W13" i="2"/>
  <c r="S6" i="2"/>
  <c r="R5" i="2"/>
  <c r="S5" i="2"/>
  <c r="J5" i="2"/>
  <c r="I5" i="2"/>
  <c r="H5" i="2"/>
  <c r="G5" i="2"/>
  <c r="F5" i="2"/>
  <c r="G4" i="2"/>
  <c r="C10" i="4"/>
  <c r="C9" i="4"/>
  <c r="C7" i="4"/>
  <c r="P43" i="2"/>
  <c r="S43" i="2"/>
  <c r="Q43" i="2"/>
  <c r="Q49" i="2"/>
  <c r="Q50" i="2"/>
  <c r="S50" i="2"/>
  <c r="Q51" i="2"/>
  <c r="R51" i="2"/>
  <c r="S51" i="2"/>
  <c r="P51" i="2"/>
  <c r="P49" i="2"/>
  <c r="Q48" i="2"/>
  <c r="P48" i="2"/>
  <c r="S47" i="2"/>
  <c r="Q47" i="2"/>
  <c r="P47" i="2"/>
  <c r="S44" i="2"/>
  <c r="Q44" i="2"/>
  <c r="P7" i="2"/>
  <c r="R7" i="2"/>
  <c r="S4" i="2" s="1"/>
  <c r="Q5" i="2"/>
  <c r="Q7" i="2" s="1"/>
  <c r="C12" i="2"/>
  <c r="C14" i="2" s="1"/>
  <c r="J29" i="2"/>
  <c r="E16" i="2"/>
  <c r="D16" i="2"/>
  <c r="E9" i="2"/>
  <c r="D9" i="2"/>
  <c r="E6" i="2"/>
  <c r="E12" i="2" s="1"/>
  <c r="C16" i="2"/>
  <c r="C9" i="2"/>
  <c r="D6" i="2"/>
  <c r="D12" i="2" s="1"/>
  <c r="I25" i="2"/>
  <c r="D25" i="2"/>
  <c r="H25" i="2"/>
  <c r="G25" i="2"/>
  <c r="F25" i="2"/>
  <c r="F4" i="2" s="1"/>
  <c r="C27" i="2"/>
  <c r="E25" i="2"/>
  <c r="C25" i="2"/>
  <c r="B24" i="2"/>
  <c r="J7" i="10" l="1"/>
  <c r="G7" i="10"/>
  <c r="I7" i="10"/>
  <c r="H7" i="10"/>
  <c r="X50" i="2"/>
  <c r="X34" i="2" s="1"/>
  <c r="W34" i="2"/>
  <c r="X47" i="2"/>
  <c r="W28" i="2"/>
  <c r="S7" i="2"/>
  <c r="T4" i="2" s="1"/>
  <c r="J25" i="2"/>
  <c r="T28" i="2"/>
  <c r="T27" i="2"/>
  <c r="T35" i="2"/>
  <c r="D17" i="2"/>
  <c r="D21" i="2" s="1"/>
  <c r="C21" i="2"/>
  <c r="D10" i="2"/>
  <c r="D14" i="2"/>
  <c r="E10" i="2"/>
  <c r="E14" i="2"/>
  <c r="F8" i="2"/>
  <c r="F9" i="2" s="1"/>
  <c r="C10" i="2"/>
  <c r="D27" i="2"/>
  <c r="C10" i="10" l="1"/>
  <c r="C15" i="10" s="1"/>
  <c r="C19" i="10" s="1"/>
  <c r="C21" i="10" s="1"/>
  <c r="F12" i="10" s="1"/>
  <c r="U27" i="2"/>
  <c r="U29" i="2" s="1"/>
  <c r="T36" i="2"/>
  <c r="U35" i="2"/>
  <c r="U28" i="2"/>
  <c r="T6" i="2"/>
  <c r="T5" i="2"/>
  <c r="F11" i="2"/>
  <c r="E27" i="2"/>
  <c r="T7" i="2" l="1"/>
  <c r="U4" i="2" s="1"/>
  <c r="V27" i="2"/>
  <c r="V33" i="2"/>
  <c r="U33" i="2"/>
  <c r="V28" i="2"/>
  <c r="U5" i="2"/>
  <c r="U6" i="2"/>
  <c r="G15" i="2"/>
  <c r="G11" i="2"/>
  <c r="F27" i="2"/>
  <c r="V29" i="2" l="1"/>
  <c r="X33" i="2"/>
  <c r="W27" i="2"/>
  <c r="W29" i="2" s="1"/>
  <c r="X28" i="2"/>
  <c r="V35" i="2"/>
  <c r="H15" i="2"/>
  <c r="H11" i="2"/>
  <c r="U7" i="2"/>
  <c r="V4" i="2" s="1"/>
  <c r="G27" i="2"/>
  <c r="H27" i="2" s="1"/>
  <c r="H4" i="2"/>
  <c r="I4" i="2" s="1"/>
  <c r="G8" i="2"/>
  <c r="G9" i="2" s="1"/>
  <c r="W33" i="2" l="1"/>
  <c r="X27" i="2"/>
  <c r="X29" i="2" s="1"/>
  <c r="J4" i="2"/>
  <c r="W35" i="2"/>
  <c r="V5" i="2"/>
  <c r="V6" i="2"/>
  <c r="I27" i="2"/>
  <c r="J27" i="2" s="1"/>
  <c r="I8" i="2"/>
  <c r="I9" i="2" s="1"/>
  <c r="H8" i="2"/>
  <c r="H9" i="2" s="1"/>
  <c r="V7" i="2" l="1"/>
  <c r="W4" i="2" s="1"/>
  <c r="W6" i="2" s="1"/>
  <c r="J8" i="2"/>
  <c r="J9" i="2" s="1"/>
  <c r="I15" i="2"/>
  <c r="I11" i="2"/>
  <c r="W5" i="2" l="1"/>
  <c r="J11" i="2" s="1"/>
  <c r="W7" i="2" l="1"/>
  <c r="J15" i="2"/>
  <c r="F6" i="2"/>
  <c r="F10" i="2" s="1"/>
  <c r="G6" i="2"/>
  <c r="G10" i="2" s="1"/>
  <c r="H6" i="2" l="1"/>
  <c r="H10" i="2" s="1"/>
  <c r="H12" i="2" s="1"/>
  <c r="H13" i="2" s="1"/>
  <c r="J6" i="2" l="1"/>
  <c r="J10" i="2" s="1"/>
  <c r="I6" i="2"/>
  <c r="I10" i="2" s="1"/>
  <c r="I12" i="2" s="1"/>
  <c r="I1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tc={AC31076F-19F3-443F-A716-BAD73771CC22}</author>
  </authors>
  <commentList>
    <comment ref="C11" authorId="0" shapeId="0" xr:uid="{35A2E8F0-10A3-4C29-9202-E5D45D7B7D7E}">
      <text>
        <r>
          <rPr>
            <sz val="11"/>
            <color theme="1"/>
            <rFont val="Aptos Narrow"/>
            <family val="2"/>
            <scheme val="minor"/>
          </rPr>
          <t xml:space="preserve"> terminal growth rate (3.0%–3.5%) than most companies because of its powerful membership business model, which creates extremely high customer loyalty, recurring revenue, and pricing power, while it still has significant room to grow by opening new warehouses in existing and new markets (US + international expansion) for many years into the future.</t>
        </r>
      </text>
    </comment>
    <comment ref="C13" authorId="1" shapeId="0" xr:uid="{AC31076F-19F3-443F-A716-BAD73771CC22}">
      <text>
        <t xml:space="preserve">[Threaded comment]
Your version of Excel allows you to read this threaded comment; however, any edits to it will get removed if the file is opened in a newer version of Excel. Learn more: https://go.microsoft.com/fwlink/?linkid=870924
Comment:
    Terminal Value (DCF!C13) — formula used PV of Year 5 FCF as numerator and (FCF−g) as denominator. Result was 0.84 (nonsense). Gordon Growth Model is FCF_last × (1+g) / (WACC−g). Fixed to =K4*(1+C11)/(C12-C11)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tc={C504320F-3915-4C26-BA8C-1C1CBA0C5013}</author>
    <author>tc={733C51F8-627A-455B-81A9-083D2B9EA889}</author>
    <author>tc={837CD07D-C04F-4E20-80E7-99580E904EC2}</author>
    <author>tc={09F63F47-E4FF-42AB-A6B4-C26C5F9E9991}</author>
    <author>tc={0806A357-B54F-4F83-BAEA-A6B7EF42387F}</author>
  </authors>
  <commentList>
    <comment ref="C19" authorId="0" shapeId="0" xr:uid="{C504320F-3915-4C26-BA8C-1C1CBA0C5013}">
      <text>
        <t>[Threaded comment]
Your version of Excel allows you to read this threaded comment; however, any edits to it will get removed if the file is opened in a newer version of Excel. Learn more: https://go.microsoft.com/fwlink/?linkid=870924
Comment:
    My historicals we initially wrong</t>
      </text>
    </comment>
    <comment ref="F21" authorId="1" shapeId="0" xr:uid="{733C51F8-627A-455B-81A9-083D2B9EA889}">
      <text>
        <t xml:space="preserve">[Threaded comment]
Your version of Excel allows you to read this threaded comment; however, any edits to it will get removed if the file is opened in a newer version of Excel. Learn more: https://go.microsoft.com/fwlink/?linkid=870924
Comment:
    Projected FCF formula (FCF!F21:J21) — CapEx row (row 16) is already stored as negative. Formula had −F16 which double-negated it, effectively adding CapEx to FCF instead of subtracting. Fixed to =F14+F15+F16−F17. </t>
      </text>
    </comment>
    <comment ref="O43" authorId="2" shapeId="0" xr:uid="{837CD07D-C04F-4E20-80E7-99580E904EC2}">
      <text>
        <t>[Threaded comment]
Your version of Excel allows you to read this threaded comment; however, any edits to it will get removed if the file is opened in a newer version of Excel. Learn more: https://go.microsoft.com/fwlink/?linkid=870924
Comment:
    (how many days it takes to collect cash from customer)</t>
      </text>
    </comment>
    <comment ref="O44" authorId="3" shapeId="0" xr:uid="{09F63F47-E4FF-42AB-A6B4-C26C5F9E9991}">
      <text>
        <t>[Threaded comment]
Your version of Excel allows you to read this threaded comment; however, any edits to it will get removed if the file is opened in a newer version of Excel. Learn more: https://go.microsoft.com/fwlink/?linkid=870924
Comment:
    Number of days it takes to sell inventory</t>
      </text>
    </comment>
    <comment ref="O45" authorId="4" shapeId="0" xr:uid="{0806A357-B54F-4F83-BAEA-A6B7EF42387F}">
      <text>
        <t>[Threaded comment]
Your version of Excel allows you to read this threaded comment; however, any edits to it will get removed if the file is opened in a newer version of Excel. Learn more: https://go.microsoft.com/fwlink/?linkid=870924
Comment:
    Number of days to pay billls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tc={DA3F131C-36BD-4C19-8305-EB3BFDE64C02}</author>
  </authors>
  <commentList>
    <comment ref="C8" authorId="0" shapeId="0" xr:uid="{7245150E-1E9E-428A-8A7D-3B6660DFE73F}">
      <text>
        <r>
          <rPr>
            <sz val="11"/>
            <color theme="1"/>
            <rFont val="Aptos Narrow"/>
            <scheme val="minor"/>
          </rPr>
          <t>US Corporate Tax Rate</t>
        </r>
      </text>
    </comment>
    <comment ref="C17" authorId="1" shapeId="0" xr:uid="{DA3F131C-36BD-4C19-8305-EB3BFDE64C02}">
      <text>
        <t xml:space="preserve">[Threaded comment]
Your version of Excel allows you to read this threaded comment; however, any edits to it will get removed if the file is opened in a newer version of Excel. Learn more: https://go.microsoft.com/fwlink/?linkid=870924
Comment:
    Cost of Equity (WACC!C17) — worst bug. Formula was =C12+C15*(C14-C12). Since C14 is already MRP = (Rm−Rf), this subtracted Rf from MRP again, collapsing CoE to 4.5% (= Rf only). CAPM is Rf + β × MRP. Fixed to =C12+C15*C14. CoE now correctly reads 8.77%, WACC corrects to 8.64%. </t>
      </text>
    </comment>
  </commentList>
</comments>
</file>

<file path=xl/sharedStrings.xml><?xml version="1.0" encoding="utf-8"?>
<sst xmlns="http://schemas.openxmlformats.org/spreadsheetml/2006/main" count="197" uniqueCount="161">
  <si>
    <t>Assumptions</t>
  </si>
  <si>
    <t>Revenue</t>
  </si>
  <si>
    <t>COGS</t>
  </si>
  <si>
    <t>Unlevered Free Cash Flow (mm)</t>
  </si>
  <si>
    <t>Fiscal Year</t>
  </si>
  <si>
    <t>Gross Profit</t>
  </si>
  <si>
    <t>Operating Expenses</t>
  </si>
  <si>
    <t>Selling, General, Administrative</t>
  </si>
  <si>
    <t>Total Operating Expenses</t>
  </si>
  <si>
    <t>EBITDA</t>
  </si>
  <si>
    <t>Depreciation &amp; Amortization</t>
  </si>
  <si>
    <t>Operating Taxes</t>
  </si>
  <si>
    <t>NOPAT (Net Operating Profit After Taxes)</t>
  </si>
  <si>
    <t>(+) Depreciation &amp; Amortization</t>
  </si>
  <si>
    <t>Current Assets</t>
  </si>
  <si>
    <t>Current Liabilitites</t>
  </si>
  <si>
    <t>Unlevered Free Cash Flow</t>
  </si>
  <si>
    <t>Revenue Growth</t>
  </si>
  <si>
    <t>COGS % of Revenue</t>
  </si>
  <si>
    <t>SG&amp;A % of Revenue</t>
  </si>
  <si>
    <t>Tax % of EBIT</t>
  </si>
  <si>
    <t>WACC</t>
  </si>
  <si>
    <t>X</t>
  </si>
  <si>
    <t>Net Income</t>
  </si>
  <si>
    <t>Stock-Based Compensation</t>
  </si>
  <si>
    <t>Other Investing Activities</t>
  </si>
  <si>
    <t>Repurchases of Common Stock</t>
  </si>
  <si>
    <t>Effect of Exchange Rate Changes</t>
  </si>
  <si>
    <t>Net Sales</t>
  </si>
  <si>
    <t>Membership Fees</t>
  </si>
  <si>
    <t>Total Revenue</t>
  </si>
  <si>
    <t>Operating Income</t>
  </si>
  <si>
    <t>Item</t>
  </si>
  <si>
    <t>Merchandise Costs</t>
  </si>
  <si>
    <t>SG&amp;A</t>
  </si>
  <si>
    <t>Preopening Expenses (included in SG&amp;A)</t>
  </si>
  <si>
    <t>Interest Expense</t>
  </si>
  <si>
    <t>Interest Income and Other, net</t>
  </si>
  <si>
    <t>Income Before Income Taxes</t>
  </si>
  <si>
    <t>Provision for Income Taxes</t>
  </si>
  <si>
    <t>Basic EPS</t>
  </si>
  <si>
    <t>Diluted EPS</t>
  </si>
  <si>
    <t>Weighted Average Shares - Diluted (M)</t>
  </si>
  <si>
    <t>Cash and Cash Equivalents</t>
  </si>
  <si>
    <t>Short-term Investments</t>
  </si>
  <si>
    <t>Receivables, net</t>
  </si>
  <si>
    <t>Merchandise Inventories</t>
  </si>
  <si>
    <t>Other Current Assets</t>
  </si>
  <si>
    <t>**Total Current Assets**</t>
  </si>
  <si>
    <t>Property &amp; Equipment, net</t>
  </si>
  <si>
    <t>Operating Lease Right-of-Use Assets</t>
  </si>
  <si>
    <t>Other Long-Term Assets</t>
  </si>
  <si>
    <t>**Total Assets**</t>
  </si>
  <si>
    <t>Accounts Payable</t>
  </si>
  <si>
    <t>Accrued Salaries &amp; Benefits</t>
  </si>
  <si>
    <t>Accrued Member Rewards &amp; Deferred Fees</t>
  </si>
  <si>
    <t>Current Portion of Long-Term Debt &amp; Leases</t>
  </si>
  <si>
    <t>Other Current Liabilities</t>
  </si>
  <si>
    <t>**Total Current Liabilities**</t>
  </si>
  <si>
    <t>Long-Term Debt</t>
  </si>
  <si>
    <t>Long-Term Operating Lease Liabilities</t>
  </si>
  <si>
    <t>Other Long-Term Liabilities</t>
  </si>
  <si>
    <t>**Total Liabilities**</t>
  </si>
  <si>
    <t>**Total Shareholders' Equity**</t>
  </si>
  <si>
    <t>**Total Liabilities + Equity**</t>
  </si>
  <si>
    <t>Non-cash Lease Expense</t>
  </si>
  <si>
    <t>Other Non-Cash Items</t>
  </si>
  <si>
    <t>Changes in Merchandise Inventories</t>
  </si>
  <si>
    <t>Changes in Accounts Payable</t>
  </si>
  <si>
    <t>Changes in Other Operating Assets &amp; Liabilities</t>
  </si>
  <si>
    <t>**Net Cash from Operating Activities**</t>
  </si>
  <si>
    <t>Additions to Property &amp; Equipment</t>
  </si>
  <si>
    <t>Net Change in Short-term Investments</t>
  </si>
  <si>
    <t>**Net Cash from Investing Activities**</t>
  </si>
  <si>
    <t>Cash Dividends Paid</t>
  </si>
  <si>
    <t>Debt Issuance / (Repayments), net</t>
  </si>
  <si>
    <t>Other Financing Activities</t>
  </si>
  <si>
    <t>**Net Cash from Financing Activities**</t>
  </si>
  <si>
    <t>**Net Change in Cash &amp; Equivalents**</t>
  </si>
  <si>
    <t>Revenue growth?</t>
  </si>
  <si>
    <t>COGS % of Revenue?</t>
  </si>
  <si>
    <t xml:space="preserve">pull from 10k net sales + membership fees then do (next yr - prev)/prev </t>
  </si>
  <si>
    <t>Pull Cogs(merchandise costs-direct cost so exclude sg&amp;A) from 10k / total rev</t>
  </si>
  <si>
    <t>PULL SG&amp;A costs- indirect costs still needded for operating / total rev)</t>
  </si>
  <si>
    <t>SG&amp;A % of Revenue?</t>
  </si>
  <si>
    <t>Tax % of EBIT?</t>
  </si>
  <si>
    <t>pull from 10k</t>
  </si>
  <si>
    <t>Operating Profit (EBIT)( work before ebitda)</t>
  </si>
  <si>
    <t>NWC(ca-cl)</t>
  </si>
  <si>
    <t>(1+x)</t>
  </si>
  <si>
    <t>(z*x)</t>
  </si>
  <si>
    <t>rev *x</t>
  </si>
  <si>
    <t>only have 1 so just sga</t>
  </si>
  <si>
    <t>GP - total expenses</t>
  </si>
  <si>
    <t>Fixed Assets Schedule</t>
  </si>
  <si>
    <t>Beginning PP&amp;E</t>
  </si>
  <si>
    <t>Ending PP&amp;E</t>
  </si>
  <si>
    <t>D&amp;A as a % of Beginning PP&amp;E</t>
  </si>
  <si>
    <t>CapEx as a % of Beginning PP&amp;E</t>
  </si>
  <si>
    <t>D&amp;A=Beginning PP&amp;E×D&amp;A %</t>
  </si>
  <si>
    <t>grab from 10k cfs</t>
  </si>
  <si>
    <t>grab from 10k stmtn</t>
  </si>
  <si>
    <t>(-)D&amp;A</t>
  </si>
  <si>
    <t>(+)CapEx</t>
  </si>
  <si>
    <t>NWC</t>
  </si>
  <si>
    <t>NWC = AR + Inventory – AP</t>
  </si>
  <si>
    <t>(-) Capital Expenditures(buying factory,outflow)</t>
  </si>
  <si>
    <t>(+/-) Change in NWC (depends on assets)</t>
  </si>
  <si>
    <t>2018A</t>
  </si>
  <si>
    <t>2019A</t>
  </si>
  <si>
    <t>2020A</t>
  </si>
  <si>
    <t>2021A</t>
  </si>
  <si>
    <t>2022E</t>
  </si>
  <si>
    <t>2023E</t>
  </si>
  <si>
    <t>2024E</t>
  </si>
  <si>
    <t>2025E</t>
  </si>
  <si>
    <t>2026E</t>
  </si>
  <si>
    <t>Accounts Receivables</t>
  </si>
  <si>
    <t>Merchandise Inventory</t>
  </si>
  <si>
    <t>Accrued Salaries and Benefits</t>
  </si>
  <si>
    <t>Accrued Member Rewards</t>
  </si>
  <si>
    <t>Deferred Membership Fees</t>
  </si>
  <si>
    <t>Current Liabilities</t>
  </si>
  <si>
    <t>Days Sales Outstanding (DSO)</t>
  </si>
  <si>
    <t>Days Inventory Outstanding (DIO)</t>
  </si>
  <si>
    <t>Days Payable Outstanding (DPO)</t>
  </si>
  <si>
    <t>Other Current Assets as a % of Revenue</t>
  </si>
  <si>
    <t>Accrued Salaries as a % of Revenue</t>
  </si>
  <si>
    <t>Accrued Member Rewards as a % of Revenue</t>
  </si>
  <si>
    <t>Deferred Membership Fees as a % of Revenue</t>
  </si>
  <si>
    <t>Other Current Liabilities as a % of Revenue</t>
  </si>
  <si>
    <t>Net working capital</t>
  </si>
  <si>
    <t>Projection Year</t>
  </si>
  <si>
    <t>Present Value of Free Cash Flow</t>
  </si>
  <si>
    <t>Implied Share Price Calculation</t>
  </si>
  <si>
    <t>Sensitivity Table</t>
  </si>
  <si>
    <t>Sum of PV of FCF</t>
  </si>
  <si>
    <t>Growth Rate</t>
  </si>
  <si>
    <t>Terminal Value</t>
  </si>
  <si>
    <t>PV of Terminal Value</t>
  </si>
  <si>
    <t>Enterprise Value</t>
  </si>
  <si>
    <t>(+) Cash</t>
  </si>
  <si>
    <t>(-) Debt</t>
  </si>
  <si>
    <t>(-) Minority Interest</t>
  </si>
  <si>
    <t>Equity Value</t>
  </si>
  <si>
    <t>Diluted Shares Outstanding (mm)</t>
  </si>
  <si>
    <t>Implied Share Price</t>
  </si>
  <si>
    <t>Weighted Average Cost of Capital (WACC)</t>
  </si>
  <si>
    <t>Equity (mm)</t>
  </si>
  <si>
    <t>Debt (mm)</t>
  </si>
  <si>
    <t>Cost of Debt</t>
  </si>
  <si>
    <t>Tax Rate</t>
  </si>
  <si>
    <t>D/(D+E)</t>
  </si>
  <si>
    <t>After Tax Cost of Debt</t>
  </si>
  <si>
    <t>Risk Free Rate (10-Yr Treasury Yield)</t>
  </si>
  <si>
    <t>Expected Market Return</t>
  </si>
  <si>
    <t>Market Risk Premium</t>
  </si>
  <si>
    <t>Levered Beta</t>
  </si>
  <si>
    <t>E/(D+E)</t>
  </si>
  <si>
    <t>Cost of Equity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</si>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</sst>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4" formatCode="_-&quot;£&quot;* #,##0.00_-;\-&quot;£&quot;* #,##0.00_-;_-&quot;£&quot;* &quot;-&quot;??_-;_-@_-"/>
    <numFmt numFmtId="43" formatCode="_-* #,##0.00_-;\-* #,##0.00_-;_-* &quot;-&quot;??_-;_-@_-"/>
    <numFmt numFmtId="164" formatCode="yyyy\A"/>
    <numFmt numFmtId="165" formatCode="0.0%"/>
    <numFmt numFmtId="166" formatCode="yyyy\E"/>
    <numFmt numFmtId="167" formatCode="0.0"/>
  </numFmts>
  <fonts count="18" x14ac:knownFonts="1">
    <font>
      <sz val="11"/>
      <color theme="1"/>
      <name val="Aptos Narrow"/>
      <family val="2"/>
      <scheme val="minor"/>
    </font>
    <font>
      <sz val="11"/>
      <color theme="1"/>
      <name val="Aptos Narrow"/>
      <family val="2"/>
      <scheme val="minor"/>
    </font>
    <font>
      <sz val="11"/>
      <color theme="0"/>
      <name val="Calibri"/>
      <family val="2"/>
    </font>
    <font>
      <sz val="11"/>
      <color theme="1"/>
      <name val="Calibri"/>
      <family val="2"/>
    </font>
    <font>
      <b/>
      <sz val="11"/>
      <color theme="1"/>
      <name val="Calibri"/>
      <family val="2"/>
    </font>
    <font>
      <b/>
      <sz val="11"/>
      <color theme="1"/>
      <name val="Aptos Narrow"/>
      <family val="2"/>
      <scheme val="minor"/>
    </font>
    <font>
      <sz val="11"/>
      <color theme="0"/>
      <name val="Calibri"/>
      <family val="2"/>
    </font>
    <font>
      <sz val="11"/>
      <color theme="1"/>
      <name val="Calibri"/>
      <family val="2"/>
    </font>
    <font>
      <sz val="11"/>
      <color theme="1"/>
      <name val="Aptos Narrow"/>
      <family val="2"/>
      <scheme val="minor"/>
    </font>
    <font>
      <b/>
      <sz val="11"/>
      <color theme="1"/>
      <name val="Calibri"/>
      <family val="2"/>
    </font>
    <font>
      <sz val="11"/>
      <name val="Calibri"/>
      <family val="2"/>
    </font>
    <font>
      <sz val="11"/>
      <color rgb="FF0000FF"/>
      <name val="Calibri"/>
      <family val="2"/>
    </font>
    <font>
      <sz val="11"/>
      <color theme="0"/>
      <name val="Calibri"/>
    </font>
    <font>
      <sz val="11"/>
      <name val="Calibri"/>
    </font>
    <font>
      <sz val="11"/>
      <color theme="1"/>
      <name val="Calibri"/>
    </font>
    <font>
      <sz val="11"/>
      <color rgb="FF0000FF"/>
      <name val="Calibri"/>
    </font>
    <font>
      <b/>
      <sz val="11"/>
      <color theme="1"/>
      <name val="Calibri"/>
    </font>
    <font>
      <sz val="11"/>
      <color theme="1"/>
      <name val="Aptos Narrow"/>
      <scheme val="minor"/>
    </font>
  </fonts>
  <fills count="10">
    <fill>
      <patternFill patternType="none"/>
    </fill>
    <fill>
      <patternFill patternType="gray125"/>
    </fill>
    <fill>
      <patternFill patternType="solid">
        <fgColor rgb="FF2A3E68"/>
        <bgColor rgb="FF2A3E68"/>
      </patternFill>
    </fill>
    <fill>
      <patternFill patternType="solid">
        <fgColor rgb="FFD9E2F3"/>
        <bgColor rgb="FFD9E2F3"/>
      </patternFill>
    </fill>
    <fill>
      <patternFill patternType="solid">
        <fgColor rgb="FFFFFF99"/>
        <bgColor rgb="FFFFFF99"/>
      </patternFill>
    </fill>
    <fill>
      <patternFill patternType="solid">
        <fgColor rgb="FFE7E6E6"/>
        <bgColor rgb="FFE7E6E6"/>
      </patternFill>
    </fill>
    <fill>
      <patternFill patternType="solid">
        <fgColor theme="3" tint="0.89999084444715716"/>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9" tint="0.39997558519241921"/>
        <bgColor indexed="64"/>
      </patternFill>
    </fill>
  </fills>
  <borders count="5">
    <border>
      <left/>
      <right/>
      <top/>
      <bottom/>
      <diagonal/>
    </border>
    <border>
      <left/>
      <right/>
      <top style="thin">
        <color indexed="64"/>
      </top>
      <bottom/>
      <diagonal/>
    </border>
    <border>
      <left/>
      <right/>
      <top/>
      <bottom style="thin">
        <color rgb="FF000000"/>
      </bottom>
      <diagonal/>
    </border>
    <border>
      <left/>
      <right/>
      <top style="thin">
        <color rgb="FF000000"/>
      </top>
      <bottom style="thin">
        <color rgb="FF000000"/>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95">
    <xf numFmtId="0" fontId="0" fillId="0" borderId="0" xfId="0"/>
    <xf numFmtId="0" fontId="0" fillId="0" borderId="1" xfId="0" applyBorder="1"/>
    <xf numFmtId="0" fontId="2" fillId="2" borderId="0" xfId="0" applyFont="1" applyFill="1"/>
    <xf numFmtId="0" fontId="3" fillId="3" borderId="2" xfId="0" applyFont="1" applyFill="1" applyBorder="1"/>
    <xf numFmtId="164" fontId="3" fillId="3" borderId="2" xfId="0" applyNumberFormat="1" applyFont="1" applyFill="1" applyBorder="1"/>
    <xf numFmtId="0" fontId="1" fillId="0" borderId="0" xfId="0" applyFont="1"/>
    <xf numFmtId="0" fontId="3" fillId="0" borderId="0" xfId="0" applyFont="1" applyAlignment="1">
      <alignment horizontal="left"/>
    </xf>
    <xf numFmtId="0" fontId="3" fillId="5" borderId="0" xfId="0" applyFont="1" applyFill="1"/>
    <xf numFmtId="0" fontId="3" fillId="0" borderId="0" xfId="0" applyFont="1"/>
    <xf numFmtId="0" fontId="4" fillId="0" borderId="1" xfId="0" applyFont="1" applyBorder="1"/>
    <xf numFmtId="0" fontId="4" fillId="4" borderId="1" xfId="0" applyFont="1" applyFill="1" applyBorder="1"/>
    <xf numFmtId="0" fontId="3" fillId="3" borderId="0" xfId="0" applyFont="1" applyFill="1"/>
    <xf numFmtId="0" fontId="3" fillId="5" borderId="1" xfId="0" applyFont="1" applyFill="1" applyBorder="1"/>
    <xf numFmtId="0" fontId="5" fillId="0" borderId="0" xfId="0" applyFont="1"/>
    <xf numFmtId="3" fontId="0" fillId="0" borderId="0" xfId="0" applyNumberFormat="1"/>
    <xf numFmtId="165" fontId="3" fillId="5" borderId="0" xfId="1" applyNumberFormat="1" applyFont="1" applyFill="1"/>
    <xf numFmtId="3" fontId="0" fillId="6" borderId="0" xfId="0" applyNumberFormat="1" applyFill="1"/>
    <xf numFmtId="3" fontId="0" fillId="6" borderId="1" xfId="0" applyNumberFormat="1" applyFill="1" applyBorder="1"/>
    <xf numFmtId="0" fontId="0" fillId="6" borderId="0" xfId="0" applyFill="1"/>
    <xf numFmtId="0" fontId="0" fillId="6" borderId="1" xfId="0" applyFill="1" applyBorder="1"/>
    <xf numFmtId="41" fontId="0" fillId="0" borderId="0" xfId="2" applyNumberFormat="1" applyFont="1"/>
    <xf numFmtId="3" fontId="0" fillId="0" borderId="1" xfId="0" applyNumberFormat="1" applyBorder="1"/>
    <xf numFmtId="41" fontId="0" fillId="0" borderId="0" xfId="0" applyNumberFormat="1"/>
    <xf numFmtId="43" fontId="0" fillId="0" borderId="1" xfId="0" applyNumberFormat="1" applyBorder="1"/>
    <xf numFmtId="0" fontId="6" fillId="2" borderId="0" xfId="0" applyFont="1" applyFill="1"/>
    <xf numFmtId="0" fontId="7" fillId="3" borderId="2" xfId="0" applyFont="1" applyFill="1" applyBorder="1"/>
    <xf numFmtId="164" fontId="7" fillId="3" borderId="2" xfId="0" applyNumberFormat="1" applyFont="1" applyFill="1" applyBorder="1"/>
    <xf numFmtId="166" fontId="7" fillId="3" borderId="2" xfId="0" applyNumberFormat="1" applyFont="1" applyFill="1" applyBorder="1"/>
    <xf numFmtId="0" fontId="8" fillId="0" borderId="0" xfId="0" applyFont="1"/>
    <xf numFmtId="3" fontId="7" fillId="0" borderId="0" xfId="0" applyNumberFormat="1" applyFont="1"/>
    <xf numFmtId="0" fontId="9" fillId="0" borderId="3" xfId="0" applyFont="1" applyBorder="1"/>
    <xf numFmtId="0" fontId="7" fillId="5" borderId="0" xfId="0" applyFont="1" applyFill="1"/>
    <xf numFmtId="3" fontId="7" fillId="6" borderId="0" xfId="0" applyNumberFormat="1" applyFont="1" applyFill="1"/>
    <xf numFmtId="3" fontId="9" fillId="6" borderId="3" xfId="0" applyNumberFormat="1" applyFont="1" applyFill="1" applyBorder="1"/>
    <xf numFmtId="165" fontId="0" fillId="8" borderId="0" xfId="1" applyNumberFormat="1" applyFont="1" applyFill="1"/>
    <xf numFmtId="10" fontId="0" fillId="8" borderId="0" xfId="0" applyNumberFormat="1" applyFill="1"/>
    <xf numFmtId="165" fontId="7" fillId="8" borderId="0" xfId="0" applyNumberFormat="1" applyFont="1" applyFill="1"/>
    <xf numFmtId="41" fontId="0" fillId="6" borderId="0" xfId="2" applyNumberFormat="1" applyFont="1" applyFill="1"/>
    <xf numFmtId="41" fontId="0" fillId="6" borderId="0" xfId="0" applyNumberFormat="1" applyFill="1"/>
    <xf numFmtId="43" fontId="0" fillId="6" borderId="1" xfId="0" applyNumberFormat="1" applyFill="1" applyBorder="1"/>
    <xf numFmtId="41" fontId="0" fillId="6" borderId="1" xfId="0" applyNumberFormat="1" applyFill="1" applyBorder="1"/>
    <xf numFmtId="3" fontId="3" fillId="6" borderId="0" xfId="0" applyNumberFormat="1" applyFont="1" applyFill="1"/>
    <xf numFmtId="3" fontId="0" fillId="7" borderId="0" xfId="0" applyNumberFormat="1" applyFill="1"/>
    <xf numFmtId="43" fontId="0" fillId="0" borderId="0" xfId="0" applyNumberFormat="1"/>
    <xf numFmtId="0" fontId="0" fillId="8" borderId="1" xfId="0" applyFill="1" applyBorder="1"/>
    <xf numFmtId="3" fontId="0" fillId="8" borderId="1" xfId="0" applyNumberFormat="1" applyFill="1" applyBorder="1"/>
    <xf numFmtId="0" fontId="0" fillId="8" borderId="0" xfId="0" applyFill="1"/>
    <xf numFmtId="3" fontId="0" fillId="8" borderId="0" xfId="0" applyNumberFormat="1" applyFill="1"/>
    <xf numFmtId="167" fontId="0" fillId="8" borderId="0" xfId="0" applyNumberFormat="1" applyFill="1"/>
    <xf numFmtId="1" fontId="0" fillId="8" borderId="0" xfId="0" applyNumberFormat="1" applyFill="1"/>
    <xf numFmtId="1" fontId="0" fillId="0" borderId="1" xfId="0" applyNumberFormat="1" applyBorder="1"/>
    <xf numFmtId="1" fontId="0" fillId="0" borderId="0" xfId="0" applyNumberFormat="1"/>
    <xf numFmtId="1" fontId="0" fillId="7" borderId="0" xfId="0" applyNumberFormat="1" applyFill="1"/>
    <xf numFmtId="166" fontId="3" fillId="3" borderId="2" xfId="0" applyNumberFormat="1" applyFont="1" applyFill="1" applyBorder="1"/>
    <xf numFmtId="3" fontId="3" fillId="0" borderId="0" xfId="0" applyNumberFormat="1" applyFont="1"/>
    <xf numFmtId="0" fontId="4" fillId="0" borderId="3" xfId="0" applyFont="1" applyBorder="1"/>
    <xf numFmtId="9" fontId="11" fillId="0" borderId="0" xfId="0" applyNumberFormat="1" applyFont="1"/>
    <xf numFmtId="165" fontId="3" fillId="0" borderId="0" xfId="0" applyNumberFormat="1" applyFont="1"/>
    <xf numFmtId="4" fontId="3" fillId="0" borderId="0" xfId="0" applyNumberFormat="1" applyFont="1"/>
    <xf numFmtId="10" fontId="3" fillId="3" borderId="0" xfId="0" applyNumberFormat="1" applyFont="1" applyFill="1"/>
    <xf numFmtId="4" fontId="3" fillId="3" borderId="0" xfId="0" applyNumberFormat="1" applyFont="1" applyFill="1"/>
    <xf numFmtId="4" fontId="2" fillId="2" borderId="0" xfId="0" applyNumberFormat="1" applyFont="1" applyFill="1"/>
    <xf numFmtId="0" fontId="3" fillId="0" borderId="3" xfId="0" applyFont="1" applyBorder="1"/>
    <xf numFmtId="3" fontId="3" fillId="0" borderId="3" xfId="0" applyNumberFormat="1" applyFont="1" applyBorder="1"/>
    <xf numFmtId="2" fontId="11" fillId="0" borderId="0" xfId="0" applyNumberFormat="1" applyFont="1"/>
    <xf numFmtId="0" fontId="4" fillId="4" borderId="3" xfId="0" applyFont="1" applyFill="1" applyBorder="1"/>
    <xf numFmtId="43" fontId="0" fillId="0" borderId="4" xfId="0" applyNumberFormat="1" applyBorder="1"/>
    <xf numFmtId="0" fontId="6" fillId="0" borderId="0" xfId="0" applyFont="1"/>
    <xf numFmtId="0" fontId="7" fillId="0" borderId="2" xfId="0" applyFont="1" applyBorder="1"/>
    <xf numFmtId="0" fontId="14" fillId="0" borderId="0" xfId="0" applyFont="1"/>
    <xf numFmtId="3" fontId="15" fillId="0" borderId="0" xfId="0" applyNumberFormat="1" applyFont="1"/>
    <xf numFmtId="3" fontId="14" fillId="0" borderId="0" xfId="0" applyNumberFormat="1" applyFont="1"/>
    <xf numFmtId="165" fontId="14" fillId="0" borderId="0" xfId="0" applyNumberFormat="1" applyFont="1"/>
    <xf numFmtId="165" fontId="15" fillId="0" borderId="0" xfId="0" applyNumberFormat="1" applyFont="1"/>
    <xf numFmtId="0" fontId="16" fillId="0" borderId="3" xfId="0" applyFont="1" applyBorder="1"/>
    <xf numFmtId="165" fontId="16" fillId="0" borderId="3" xfId="0" applyNumberFormat="1" applyFont="1" applyBorder="1"/>
    <xf numFmtId="0" fontId="16" fillId="0" borderId="0" xfId="0" applyFont="1"/>
    <xf numFmtId="165" fontId="16" fillId="0" borderId="0" xfId="0" applyNumberFormat="1" applyFont="1"/>
    <xf numFmtId="0" fontId="15" fillId="0" borderId="0" xfId="0" applyFont="1"/>
    <xf numFmtId="0" fontId="16" fillId="4" borderId="3" xfId="0" applyFont="1" applyFill="1" applyBorder="1"/>
    <xf numFmtId="165" fontId="16" fillId="4" borderId="3" xfId="0" applyNumberFormat="1" applyFont="1" applyFill="1" applyBorder="1"/>
    <xf numFmtId="10" fontId="14" fillId="0" borderId="0" xfId="0" applyNumberFormat="1" applyFont="1"/>
    <xf numFmtId="10" fontId="3" fillId="5" borderId="0" xfId="1" applyNumberFormat="1" applyFont="1" applyFill="1"/>
    <xf numFmtId="10" fontId="0" fillId="8" borderId="0" xfId="1" applyNumberFormat="1" applyFont="1" applyFill="1"/>
    <xf numFmtId="3" fontId="3" fillId="9" borderId="0" xfId="0" applyNumberFormat="1" applyFont="1" applyFill="1"/>
    <xf numFmtId="3" fontId="4" fillId="9" borderId="3" xfId="0" applyNumberFormat="1" applyFont="1" applyFill="1" applyBorder="1"/>
    <xf numFmtId="1" fontId="0" fillId="9" borderId="1" xfId="0" applyNumberFormat="1" applyFill="1" applyBorder="1"/>
    <xf numFmtId="3" fontId="9" fillId="9" borderId="3" xfId="0" applyNumberFormat="1" applyFont="1" applyFill="1" applyBorder="1"/>
    <xf numFmtId="44" fontId="4" fillId="4" borderId="3" xfId="2" applyFont="1" applyFill="1" applyBorder="1"/>
    <xf numFmtId="44" fontId="3" fillId="0" borderId="0" xfId="2" applyFont="1"/>
    <xf numFmtId="0" fontId="2" fillId="2" borderId="0" xfId="0" applyFont="1" applyFill="1" applyAlignment="1">
      <alignment horizontal="center"/>
    </xf>
    <xf numFmtId="0" fontId="10" fillId="0" borderId="0" xfId="0" applyFont="1"/>
    <xf numFmtId="0" fontId="2" fillId="2" borderId="0" xfId="0" applyFont="1" applyFill="1" applyAlignment="1">
      <alignment horizontal="center" vertical="center" textRotation="90"/>
    </xf>
    <xf numFmtId="0" fontId="12" fillId="2" borderId="0" xfId="0" applyFont="1" applyFill="1" applyAlignment="1">
      <alignment horizontal="center"/>
    </xf>
    <xf numFmtId="0" fontId="13" fillId="0" borderId="0" xfId="0" applyFont="1"/>
  </cellXfs>
  <cellStyles count="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10</xdr:col>
      <xdr:colOff>85725</xdr:colOff>
      <xdr:row>9</xdr:row>
      <xdr:rowOff>85725</xdr:rowOff>
    </xdr:from>
    <xdr:to>
      <xdr:col>13</xdr:col>
      <xdr:colOff>1860176</xdr:colOff>
      <xdr:row>11</xdr:row>
      <xdr:rowOff>123825</xdr:rowOff>
    </xdr:to>
    <xdr:sp macro="" textlink="">
      <xdr:nvSpPr>
        <xdr:cNvPr id="2" name="Arrow: Right 1">
          <a:extLst>
            <a:ext uri="{FF2B5EF4-FFF2-40B4-BE49-F238E27FC236}">
              <a16:creationId xmlns:a16="http://schemas.microsoft.com/office/drawing/2014/main" id="{BE31D85D-435B-C40A-7FC6-47AA87F77D68}"/>
            </a:ext>
          </a:extLst>
        </xdr:cNvPr>
        <xdr:cNvSpPr/>
      </xdr:nvSpPr>
      <xdr:spPr>
        <a:xfrm>
          <a:off x="9005607" y="1800225"/>
          <a:ext cx="3735481" cy="4191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708166</xdr:colOff>
      <xdr:row>19</xdr:row>
      <xdr:rowOff>29250</xdr:rowOff>
    </xdr:from>
    <xdr:to>
      <xdr:col>14</xdr:col>
      <xdr:colOff>135288</xdr:colOff>
      <xdr:row>21</xdr:row>
      <xdr:rowOff>67350</xdr:rowOff>
    </xdr:to>
    <xdr:sp macro="" textlink="">
      <xdr:nvSpPr>
        <xdr:cNvPr id="3" name="Arrow: Right 2">
          <a:extLst>
            <a:ext uri="{FF2B5EF4-FFF2-40B4-BE49-F238E27FC236}">
              <a16:creationId xmlns:a16="http://schemas.microsoft.com/office/drawing/2014/main" id="{0D14DDBD-4DAF-492F-8A8E-AEB4270DF924}"/>
            </a:ext>
          </a:extLst>
        </xdr:cNvPr>
        <xdr:cNvSpPr/>
      </xdr:nvSpPr>
      <xdr:spPr>
        <a:xfrm rot="1079448">
          <a:off x="8810019" y="3648750"/>
          <a:ext cx="4156004" cy="4191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person displayName="asad mahmood" id="{B12CEB84-F4EB-4472-B142-BBEEC05EC0CD}" userId="1f60bfd5c86354ea" providerId="Windows Live"/>
  <person displayName="Asad Mahmood" id="{FC92D5B4-C9AC-4964-8026-59FD9A149C93}" userId="S::y3c31@students.keele.ac.uk::606becdb-6a2f-43d6-a401-b741cd05ec1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3" dT="2026-05-23T14:50:39.19" personId="{B12CEB84-F4EB-4472-B142-BBEEC05EC0CD}" id="{AC31076F-19F3-443F-A716-BAD73771CC22}">
    <text xml:space="preserve">Terminal Value (DCF!C13) — formula used PV of Year 5 FCF as numerator and (FCF−g) as denominator. Result was 0.84 (nonsense). Gordon Growth Model is FCF_last × (1+g) / (WACC−g). Fixed to =K4*(1+C11)/(C12-C11) </text>
  </threadedComment>
</ThreadedComments>
</file>

<file path=xl/threadedComments/threadedComment2.xml><?xml version="1.0" encoding="utf-8"?>
<ThreadedComments xmlns="http://schemas.microsoft.com/office/spreadsheetml/2018/threadedcomments" xmlns:x="http://schemas.openxmlformats.org/spreadsheetml/2006/main">
  <threadedComment ref="C19" dT="2026-05-23T18:25:22.00" personId="{B12CEB84-F4EB-4472-B142-BBEEC05EC0CD}" id="{C504320F-3915-4C26-BA8C-1C1CBA0C5013}">
    <text>My historicals we initially wrong</text>
  </threadedComment>
  <threadedComment ref="F21" dT="2026-05-23T14:55:43.83" personId="{B12CEB84-F4EB-4472-B142-BBEEC05EC0CD}" id="{733C51F8-627A-455B-81A9-083D2B9EA889}">
    <text xml:space="preserve">Projected FCF formula (FCF!F21:J21) — CapEx row (row 16) is already stored as negative. Formula had −F16 which double-negated it, effectively adding CapEx to FCF instead of subtracting. Fixed to =F14+F15+F16−F17. </text>
  </threadedComment>
  <threadedComment ref="O43" dT="2026-05-15T21:22:46.81" personId="{FC92D5B4-C9AC-4964-8026-59FD9A149C93}" id="{837CD07D-C04F-4E20-80E7-99580E904EC2}">
    <text>(how many days it takes to collect cash from customer)</text>
  </threadedComment>
  <threadedComment ref="O44" dT="2026-05-15T21:24:32.71" personId="{FC92D5B4-C9AC-4964-8026-59FD9A149C93}" id="{09F63F47-E4FF-42AB-A6B4-C26C5F9E9991}">
    <text>Number of days it takes to sell inventory</text>
  </threadedComment>
  <threadedComment ref="O45" dT="2026-05-15T21:39:15.03" personId="{FC92D5B4-C9AC-4964-8026-59FD9A149C93}" id="{0806A357-B54F-4F83-BAEA-A6B7EF42387F}">
    <text>Number of days to pay billls</text>
  </threadedComment>
</ThreadedComments>
</file>

<file path=xl/threadedComments/threadedComment3.xml><?xml version="1.0" encoding="utf-8"?>
<ThreadedComments xmlns="http://schemas.microsoft.com/office/spreadsheetml/2018/threadedcomments" xmlns:x="http://schemas.openxmlformats.org/spreadsheetml/2006/main">
  <threadedComment ref="C17" dT="2026-05-23T14:44:22.03" personId="{B12CEB84-F4EB-4472-B142-BBEEC05EC0CD}" id="{DA3F131C-36BD-4C19-8305-EB3BFDE64C02}">
    <text xml:space="preserve">Cost of Equity (WACC!C17) — worst bug. Formula was =C12+C15*(C14-C12). Since C14 is already MRP = (Rm−Rf), this subtracted Rf from MRP again, collapsing CoE to 4.5% (= Rf only). CAPM is Rf + β × MRP. Fixed to =C12+C15*C14. CoE now correctly reads 8.77%, WACC corrects to 8.64%.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40E0-4FA3-4E33-886B-56573A9202C4}">
  <dimension ref="B2:M35"/>
  <sheetViews>
    <sheetView showGridLines="0" tabSelected="1" workbookViewId="0">
      <selection activeCell="E11" sqref="E11"/>
    </sheetView>
  </sheetViews>
  <sheetFormatPr defaultRowHeight="15" x14ac:dyDescent="0.25"/>
  <cols>
    <col min="2" max="2" width="25.140625" customWidth="1"/>
    <col min="3" max="3" width="10.140625" bestFit="1" customWidth="1"/>
  </cols>
  <sheetData>
    <row r="2" spans="2:11" x14ac:dyDescent="0.25">
      <c r="B2" s="2" t="s">
        <v>3</v>
      </c>
      <c r="C2" s="2"/>
      <c r="D2" s="2"/>
      <c r="E2" s="2"/>
      <c r="F2" s="2"/>
      <c r="G2" s="2"/>
      <c r="H2" s="2"/>
      <c r="I2" s="2"/>
      <c r="J2" s="2"/>
      <c r="K2" s="2"/>
    </row>
    <row r="3" spans="2:11" x14ac:dyDescent="0.25">
      <c r="B3" s="3" t="s">
        <v>4</v>
      </c>
      <c r="C3" s="4"/>
      <c r="D3" s="4">
        <v>43830</v>
      </c>
      <c r="E3" s="4">
        <v>44196</v>
      </c>
      <c r="F3" s="4">
        <v>44561</v>
      </c>
      <c r="G3" s="53">
        <v>44926</v>
      </c>
      <c r="H3" s="53">
        <v>45291</v>
      </c>
      <c r="I3" s="53">
        <v>45657</v>
      </c>
      <c r="J3" s="53">
        <v>46022</v>
      </c>
      <c r="K3" s="53">
        <v>46387</v>
      </c>
    </row>
    <row r="4" spans="2:11" x14ac:dyDescent="0.25">
      <c r="B4" s="5" t="s">
        <v>16</v>
      </c>
      <c r="C4" s="54"/>
      <c r="D4" s="54">
        <v>978</v>
      </c>
      <c r="E4" s="54">
        <v>523</v>
      </c>
      <c r="F4" s="54">
        <v>1913</v>
      </c>
      <c r="G4" s="84">
        <f>'1)FCF'!F21</f>
        <v>5395.5859183141165</v>
      </c>
      <c r="H4" s="84">
        <f>'1)FCF'!G21</f>
        <v>4558.5356807346816</v>
      </c>
      <c r="I4" s="84">
        <f>'1)FCF'!H21</f>
        <v>4496.1347387021106</v>
      </c>
      <c r="J4" s="84">
        <f>'1)FCF'!I21</f>
        <v>4834.7254956520828</v>
      </c>
      <c r="K4" s="84">
        <f>'1)FCF'!J21</f>
        <v>5160.805009046665</v>
      </c>
    </row>
    <row r="6" spans="2:11" x14ac:dyDescent="0.25">
      <c r="B6" s="5" t="s">
        <v>132</v>
      </c>
      <c r="G6" s="5">
        <v>1</v>
      </c>
      <c r="H6" s="5">
        <v>2</v>
      </c>
      <c r="I6" s="5">
        <v>3</v>
      </c>
      <c r="J6" s="5">
        <v>4</v>
      </c>
      <c r="K6" s="5">
        <v>5</v>
      </c>
    </row>
    <row r="7" spans="2:11" x14ac:dyDescent="0.25">
      <c r="B7" s="55" t="s">
        <v>133</v>
      </c>
      <c r="C7" s="55"/>
      <c r="D7" s="55"/>
      <c r="E7" s="55"/>
      <c r="F7" s="55"/>
      <c r="G7" s="85">
        <f>G4/(1+$C$12)^G6</f>
        <v>4966.2719835457974</v>
      </c>
      <c r="H7" s="85">
        <f t="shared" ref="H7:J7" si="0">H4/(1+$C$12)^H6</f>
        <v>3861.9721211973701</v>
      </c>
      <c r="I7" s="85">
        <f t="shared" si="0"/>
        <v>3506.0247808491768</v>
      </c>
      <c r="J7" s="85">
        <f t="shared" si="0"/>
        <v>3470.079084823929</v>
      </c>
      <c r="K7" s="85">
        <f>K4/(1+$C$12)^K6</f>
        <v>3409.3916261969462</v>
      </c>
    </row>
    <row r="9" spans="2:11" x14ac:dyDescent="0.25">
      <c r="B9" s="90" t="s">
        <v>134</v>
      </c>
      <c r="C9" s="91"/>
      <c r="E9" s="90" t="s">
        <v>135</v>
      </c>
      <c r="F9" s="91"/>
      <c r="G9" s="91"/>
      <c r="H9" s="91"/>
      <c r="I9" s="91"/>
      <c r="J9" s="91"/>
      <c r="K9" s="91"/>
    </row>
    <row r="10" spans="2:11" x14ac:dyDescent="0.25">
      <c r="B10" s="8" t="s">
        <v>136</v>
      </c>
      <c r="C10" s="54">
        <f>SUM(G7:K7)</f>
        <v>19213.739596613217</v>
      </c>
    </row>
    <row r="11" spans="2:11" x14ac:dyDescent="0.25">
      <c r="B11" s="8" t="s">
        <v>137</v>
      </c>
      <c r="C11" s="56">
        <v>0.03</v>
      </c>
      <c r="E11" s="8"/>
      <c r="F11" s="8"/>
      <c r="G11" s="90" t="s">
        <v>137</v>
      </c>
      <c r="H11" s="91"/>
      <c r="I11" s="91"/>
      <c r="J11" s="91"/>
      <c r="K11" s="91"/>
    </row>
    <row r="12" spans="2:11" x14ac:dyDescent="0.25">
      <c r="B12" s="8" t="s">
        <v>21</v>
      </c>
      <c r="C12" s="57">
        <f>'2)WACC'!C19</f>
        <v>8.6445916814608156E-2</v>
      </c>
      <c r="E12" s="8"/>
      <c r="F12" s="89">
        <f>C21</f>
        <v>204.56536691580777</v>
      </c>
      <c r="G12" s="59">
        <f>H12-0.5%</f>
        <v>1.9999999999999997E-2</v>
      </c>
      <c r="H12" s="59">
        <f>I12-0.5%</f>
        <v>2.4999999999999998E-2</v>
      </c>
      <c r="I12" s="59">
        <v>0.03</v>
      </c>
      <c r="J12" s="59">
        <f>I12+0.5%</f>
        <v>3.4999999999999996E-2</v>
      </c>
      <c r="K12" s="59">
        <f>J12+0.5%</f>
        <v>3.9999999999999994E-2</v>
      </c>
    </row>
    <row r="13" spans="2:11" x14ac:dyDescent="0.25">
      <c r="B13" s="8" t="s">
        <v>138</v>
      </c>
      <c r="C13" s="58">
        <f>K4*(1+C11)/(C12-C11)</f>
        <v>94172.075843444967</v>
      </c>
      <c r="E13" s="92" t="s">
        <v>21</v>
      </c>
      <c r="F13" s="59">
        <f>F14-0.5%</f>
        <v>7.6445916814608189E-2</v>
      </c>
      <c r="G13" s="58">
        <f t="dataTable" ref="G13:K17" dt2D="1" dtr="1" r1="C11" r2="C12"/>
        <v>210.91239192923231</v>
      </c>
      <c r="H13" s="58">
        <v>225.80647865266835</v>
      </c>
      <c r="I13" s="58">
        <v>243.90732449400204</v>
      </c>
      <c r="J13" s="58">
        <v>266.37551149521414</v>
      </c>
      <c r="K13" s="58">
        <v>295.00850074725253</v>
      </c>
    </row>
    <row r="14" spans="2:11" x14ac:dyDescent="0.25">
      <c r="B14" s="8" t="s">
        <v>139</v>
      </c>
      <c r="C14" s="54">
        <f>C13/(1+C12)^K6</f>
        <v>62213.062930958302</v>
      </c>
      <c r="D14" s="54"/>
      <c r="E14" s="91"/>
      <c r="F14" s="59">
        <f>F15-0.5%</f>
        <v>8.1445916814608194E-2</v>
      </c>
      <c r="G14" s="58">
        <v>195.46206391808346</v>
      </c>
      <c r="H14" s="60">
        <v>207.70319078216824</v>
      </c>
      <c r="I14" s="60">
        <v>222.32373424955659</v>
      </c>
      <c r="J14" s="60">
        <v>240.09214182860555</v>
      </c>
      <c r="K14" s="58">
        <v>262.14768043156914</v>
      </c>
    </row>
    <row r="15" spans="2:11" x14ac:dyDescent="0.25">
      <c r="B15" s="8" t="s">
        <v>140</v>
      </c>
      <c r="C15" s="54">
        <f>C14+C10</f>
        <v>81426.802527571519</v>
      </c>
      <c r="E15" s="91"/>
      <c r="F15" s="59">
        <v>8.6445916814608198E-2</v>
      </c>
      <c r="G15" s="58">
        <v>182.33928566507947</v>
      </c>
      <c r="H15" s="60">
        <v>192.54803181479156</v>
      </c>
      <c r="I15" s="61">
        <v>204.56536691580766</v>
      </c>
      <c r="J15" s="60">
        <v>218.91861822652447</v>
      </c>
      <c r="K15" s="58">
        <v>236.36218453048579</v>
      </c>
    </row>
    <row r="16" spans="2:11" x14ac:dyDescent="0.25">
      <c r="B16" s="6" t="s">
        <v>141</v>
      </c>
      <c r="C16" s="54">
        <f>BS!B2</f>
        <v>15284</v>
      </c>
      <c r="E16" s="91"/>
      <c r="F16" s="59">
        <f>F15+0.5%</f>
        <v>9.1445916814608202E-2</v>
      </c>
      <c r="G16" s="58">
        <v>171.05531837971481</v>
      </c>
      <c r="H16" s="60">
        <v>179.6754041300002</v>
      </c>
      <c r="I16" s="60">
        <v>189.6983635287159</v>
      </c>
      <c r="J16" s="60">
        <v>201.49699776173983</v>
      </c>
      <c r="K16" s="58">
        <v>215.58903737337562</v>
      </c>
    </row>
    <row r="17" spans="2:11" x14ac:dyDescent="0.25">
      <c r="B17" s="6" t="s">
        <v>142</v>
      </c>
      <c r="C17" s="54">
        <f>BS!B17+BS!B21</f>
        <v>5813</v>
      </c>
      <c r="E17" s="91"/>
      <c r="F17" s="59">
        <f>F16+0.5%</f>
        <v>9.6445916814608207E-2</v>
      </c>
      <c r="G17" s="58">
        <v>161.24929078249062</v>
      </c>
      <c r="H17" s="58">
        <v>168.60603428466123</v>
      </c>
      <c r="I17" s="58">
        <v>177.06995545174351</v>
      </c>
      <c r="J17" s="58">
        <v>186.91133530214543</v>
      </c>
      <c r="K17" s="58">
        <v>198.49622122097128</v>
      </c>
    </row>
    <row r="18" spans="2:11" x14ac:dyDescent="0.25">
      <c r="B18" s="6" t="s">
        <v>143</v>
      </c>
      <c r="C18" s="54">
        <v>0</v>
      </c>
    </row>
    <row r="19" spans="2:11" x14ac:dyDescent="0.25">
      <c r="B19" s="62" t="s">
        <v>144</v>
      </c>
      <c r="C19" s="63">
        <f>C15+C16-C17-C18</f>
        <v>90897.802527571519</v>
      </c>
    </row>
    <row r="20" spans="2:11" x14ac:dyDescent="0.25">
      <c r="B20" s="8" t="s">
        <v>145</v>
      </c>
      <c r="C20" s="64">
        <v>444.346</v>
      </c>
    </row>
    <row r="21" spans="2:11" x14ac:dyDescent="0.25">
      <c r="B21" s="65" t="s">
        <v>146</v>
      </c>
      <c r="C21" s="88">
        <f>C19/C20</f>
        <v>204.56536691580777</v>
      </c>
    </row>
    <row r="35" spans="13:13" x14ac:dyDescent="0.25">
      <c r="M35" t="s">
        <v>160</v>
      </c>
    </row>
  </sheetData>
  <mergeCells count="4">
    <mergeCell ref="B9:C9"/>
    <mergeCell ref="E9:K9"/>
    <mergeCell ref="G11:K11"/>
    <mergeCell ref="E13:E1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83DD3-1970-4D38-B105-8E9FF17F032E}">
  <dimension ref="A2:X51"/>
  <sheetViews>
    <sheetView topLeftCell="B1" zoomScale="85" zoomScaleNormal="85" workbookViewId="0">
      <selection activeCell="O56" sqref="O56"/>
    </sheetView>
  </sheetViews>
  <sheetFormatPr defaultRowHeight="15" x14ac:dyDescent="0.25"/>
  <cols>
    <col min="1" max="1" width="3.7109375" customWidth="1"/>
    <col min="2" max="2" width="39.42578125" customWidth="1"/>
    <col min="3" max="3" width="13.42578125" customWidth="1"/>
    <col min="4" max="5" width="9.5703125" bestFit="1" customWidth="1"/>
    <col min="6" max="6" width="11.5703125" bestFit="1" customWidth="1"/>
    <col min="7" max="7" width="10.28515625" customWidth="1"/>
    <col min="8" max="8" width="11.42578125" customWidth="1"/>
    <col min="9" max="9" width="12.42578125" customWidth="1"/>
    <col min="10" max="10" width="12.28515625" customWidth="1"/>
    <col min="11" max="11" width="11.28515625" customWidth="1"/>
    <col min="14" max="14" width="29.28515625" customWidth="1"/>
    <col min="15" max="15" width="47" customWidth="1"/>
    <col min="16" max="16" width="8" customWidth="1"/>
    <col min="17" max="19" width="9.7109375" bestFit="1" customWidth="1"/>
    <col min="20" max="20" width="11.7109375" bestFit="1" customWidth="1"/>
    <col min="21" max="24" width="10.7109375" bestFit="1" customWidth="1"/>
  </cols>
  <sheetData>
    <row r="2" spans="1:24" x14ac:dyDescent="0.25">
      <c r="B2" s="2" t="s">
        <v>3</v>
      </c>
      <c r="C2" s="2"/>
      <c r="D2" s="2"/>
      <c r="E2" s="2"/>
      <c r="F2" s="2"/>
      <c r="G2" s="2"/>
      <c r="H2" s="2"/>
      <c r="I2" s="2"/>
      <c r="J2" s="2"/>
      <c r="N2" s="67"/>
      <c r="O2" s="24" t="s">
        <v>94</v>
      </c>
      <c r="P2" s="24"/>
      <c r="Q2" s="24"/>
      <c r="R2" s="24"/>
      <c r="S2" s="24"/>
      <c r="T2" s="24"/>
      <c r="U2" s="24"/>
      <c r="V2" s="24"/>
      <c r="W2" s="24"/>
    </row>
    <row r="3" spans="1:24" x14ac:dyDescent="0.25">
      <c r="B3" s="3" t="s">
        <v>4</v>
      </c>
      <c r="C3" s="4">
        <v>43466</v>
      </c>
      <c r="D3" s="4">
        <v>43832</v>
      </c>
      <c r="E3" s="4">
        <v>44199</v>
      </c>
      <c r="F3" s="4">
        <v>44756</v>
      </c>
      <c r="G3" s="4">
        <v>45122</v>
      </c>
      <c r="H3" s="4">
        <v>45489</v>
      </c>
      <c r="I3" s="4">
        <v>45855</v>
      </c>
      <c r="J3" s="4">
        <v>45855</v>
      </c>
      <c r="N3" s="68"/>
      <c r="O3" s="25" t="s">
        <v>4</v>
      </c>
      <c r="P3" s="26">
        <v>43830</v>
      </c>
      <c r="Q3" s="27">
        <v>44196</v>
      </c>
      <c r="R3" s="27">
        <v>44561</v>
      </c>
      <c r="S3" s="27">
        <v>44926</v>
      </c>
      <c r="T3" s="27">
        <v>45291</v>
      </c>
      <c r="U3" s="27">
        <v>45657</v>
      </c>
      <c r="V3" s="27">
        <v>46022</v>
      </c>
      <c r="W3" s="27">
        <v>46387</v>
      </c>
    </row>
    <row r="4" spans="1:24" x14ac:dyDescent="0.25">
      <c r="B4" s="5" t="s">
        <v>1</v>
      </c>
      <c r="C4" s="16">
        <v>152703</v>
      </c>
      <c r="D4" s="16">
        <v>166761</v>
      </c>
      <c r="E4" s="16">
        <v>195929</v>
      </c>
      <c r="F4" s="14">
        <f>E4*(1+F25)</f>
        <v>226954</v>
      </c>
      <c r="G4" s="14">
        <f>F4*(1+G25)</f>
        <v>242290</v>
      </c>
      <c r="H4" s="14">
        <f>G4*(1+H25)</f>
        <v>254452.99999999997</v>
      </c>
      <c r="I4" s="14">
        <f>H4*(1+I25)</f>
        <v>275234.99999999994</v>
      </c>
      <c r="J4" s="14">
        <f>I4*(1+J25)</f>
        <v>293533.22595610708</v>
      </c>
      <c r="K4" t="s">
        <v>89</v>
      </c>
      <c r="O4" s="28" t="s">
        <v>95</v>
      </c>
      <c r="P4" s="16">
        <v>21807</v>
      </c>
      <c r="Q4" s="41">
        <v>21807</v>
      </c>
      <c r="R4" s="41">
        <v>23614</v>
      </c>
      <c r="S4" s="29">
        <f>R7</f>
        <v>25421</v>
      </c>
      <c r="T4" s="29">
        <f t="shared" ref="T4:W4" si="0">S7</f>
        <v>27253.8541</v>
      </c>
      <c r="U4" s="29">
        <f t="shared" si="0"/>
        <v>29235.209293070002</v>
      </c>
      <c r="V4" s="29">
        <f t="shared" si="0"/>
        <v>31372.30309239342</v>
      </c>
      <c r="W4" s="29">
        <f t="shared" si="0"/>
        <v>33988.753170299031</v>
      </c>
    </row>
    <row r="5" spans="1:24" x14ac:dyDescent="0.25">
      <c r="B5" s="8" t="s">
        <v>2</v>
      </c>
      <c r="C5" s="16">
        <v>132886</v>
      </c>
      <c r="D5" s="16">
        <v>144939</v>
      </c>
      <c r="E5" s="16">
        <v>170684</v>
      </c>
      <c r="F5" s="14">
        <f>F4*F27</f>
        <v>197501.09194973248</v>
      </c>
      <c r="G5" s="14">
        <f>G4*G27</f>
        <v>210846.86574592508</v>
      </c>
      <c r="H5" s="14">
        <f>H4*H27</f>
        <v>221431.41495582924</v>
      </c>
      <c r="I5" s="14">
        <f>I4*I27</f>
        <v>239516.43523702869</v>
      </c>
      <c r="J5" s="14">
        <f>J4*J27</f>
        <v>255440.0127332354</v>
      </c>
      <c r="K5" t="s">
        <v>90</v>
      </c>
      <c r="O5" s="28" t="s">
        <v>102</v>
      </c>
      <c r="P5" s="32">
        <v>-1492</v>
      </c>
      <c r="Q5" s="41">
        <f>-1645</f>
        <v>-1645</v>
      </c>
      <c r="R5" s="41">
        <f>-1781</f>
        <v>-1781</v>
      </c>
      <c r="S5" s="29">
        <f>S4*S12</f>
        <v>2056.5589</v>
      </c>
      <c r="T5" s="29">
        <f>T4*T12</f>
        <v>2297.49990063</v>
      </c>
      <c r="U5" s="29">
        <f>U4*U12</f>
        <v>2452.8340596885732</v>
      </c>
      <c r="V5" s="29">
        <f>V4*V12</f>
        <v>2622.7245385240899</v>
      </c>
      <c r="W5" s="29">
        <f>W4*W12</f>
        <v>2852.7893494270993</v>
      </c>
      <c r="X5" t="s">
        <v>99</v>
      </c>
    </row>
    <row r="6" spans="1:24" x14ac:dyDescent="0.25">
      <c r="B6" s="9" t="s">
        <v>5</v>
      </c>
      <c r="C6" s="17">
        <f>C4-C5</f>
        <v>19817</v>
      </c>
      <c r="D6" s="17">
        <f>D4-D5</f>
        <v>21822</v>
      </c>
      <c r="E6" s="17">
        <f>E4-E5</f>
        <v>25245</v>
      </c>
      <c r="F6" s="21">
        <f>F4-F5</f>
        <v>29452.908050267521</v>
      </c>
      <c r="G6" s="21">
        <f t="shared" ref="G6" si="1">G4-G5</f>
        <v>31443.134254074917</v>
      </c>
      <c r="H6" s="21">
        <f>H4-H5</f>
        <v>33021.58504417073</v>
      </c>
      <c r="I6" s="21">
        <f>I4-I5</f>
        <v>35718.564762971248</v>
      </c>
      <c r="J6" s="21">
        <f t="shared" ref="J6" si="2">J4-J5</f>
        <v>38093.21322287168</v>
      </c>
      <c r="O6" s="28" t="s">
        <v>103</v>
      </c>
      <c r="P6" s="16">
        <v>2998</v>
      </c>
      <c r="Q6" s="16">
        <v>2810</v>
      </c>
      <c r="R6" s="16">
        <v>3588</v>
      </c>
      <c r="S6" s="14">
        <f>S4*S13</f>
        <v>3889.413</v>
      </c>
      <c r="T6" s="14">
        <f>T4*T13</f>
        <v>4278.8550937</v>
      </c>
      <c r="U6" s="14">
        <f>U4*U13</f>
        <v>4589.9278590119902</v>
      </c>
      <c r="V6" s="14">
        <f>V4*V13</f>
        <v>5239.1746164297019</v>
      </c>
      <c r="W6" s="14">
        <f>W4*W13</f>
        <v>5449.5300916379447</v>
      </c>
    </row>
    <row r="7" spans="1:24" x14ac:dyDescent="0.25">
      <c r="B7" s="5" t="s">
        <v>6</v>
      </c>
      <c r="C7" s="16">
        <v>15800</v>
      </c>
      <c r="D7" s="16">
        <v>14994</v>
      </c>
      <c r="E7" s="16">
        <v>18537</v>
      </c>
      <c r="O7" s="30" t="s">
        <v>96</v>
      </c>
      <c r="P7" s="33">
        <f>P4+P5+P6</f>
        <v>23313</v>
      </c>
      <c r="Q7" s="33">
        <f>Q4+Q5+Q6</f>
        <v>22972</v>
      </c>
      <c r="R7" s="33">
        <f>R4+R5+R6</f>
        <v>25421</v>
      </c>
      <c r="S7" s="87">
        <f>S4-S5+S6</f>
        <v>27253.8541</v>
      </c>
      <c r="T7" s="87">
        <f>T4-T5+T6</f>
        <v>29235.209293070002</v>
      </c>
      <c r="U7" s="87">
        <f>U4-U5+U6</f>
        <v>31372.30309239342</v>
      </c>
      <c r="V7" s="87">
        <f>V4-V5+V6</f>
        <v>33988.753170299031</v>
      </c>
      <c r="W7" s="87">
        <f>W4-W5+W6</f>
        <v>36585.493912509875</v>
      </c>
    </row>
    <row r="8" spans="1:24" x14ac:dyDescent="0.25">
      <c r="B8" t="s">
        <v>7</v>
      </c>
      <c r="C8" s="16">
        <v>14994</v>
      </c>
      <c r="D8" s="37">
        <v>16387</v>
      </c>
      <c r="E8" s="37">
        <v>18537</v>
      </c>
      <c r="F8" s="20">
        <f>F4*F28</f>
        <v>19779</v>
      </c>
      <c r="G8" s="20">
        <f>G4*G28</f>
        <v>21115.529622742935</v>
      </c>
      <c r="H8" s="20">
        <f>H4*H28</f>
        <v>22673.821742539931</v>
      </c>
      <c r="I8" s="20">
        <f>I4*I28</f>
        <v>24672.966520339705</v>
      </c>
      <c r="J8" s="20">
        <f>J4*J28</f>
        <v>26625.794391048268</v>
      </c>
      <c r="K8" t="s">
        <v>91</v>
      </c>
    </row>
    <row r="9" spans="1:24" x14ac:dyDescent="0.25">
      <c r="B9" s="8" t="s">
        <v>8</v>
      </c>
      <c r="C9" s="16">
        <f>C8</f>
        <v>14994</v>
      </c>
      <c r="D9" s="38">
        <f>D8</f>
        <v>16387</v>
      </c>
      <c r="E9" s="38">
        <f>E8</f>
        <v>18537</v>
      </c>
      <c r="F9" s="22">
        <f>F8</f>
        <v>19779</v>
      </c>
      <c r="G9" s="22">
        <f t="shared" ref="G9:I9" si="3">G8</f>
        <v>21115.529622742935</v>
      </c>
      <c r="H9" s="22">
        <f t="shared" si="3"/>
        <v>22673.821742539931</v>
      </c>
      <c r="I9" s="22">
        <f t="shared" si="3"/>
        <v>24672.966520339705</v>
      </c>
      <c r="J9" s="22">
        <f>J8</f>
        <v>26625.794391048268</v>
      </c>
      <c r="K9" t="s">
        <v>92</v>
      </c>
    </row>
    <row r="10" spans="1:24" x14ac:dyDescent="0.25">
      <c r="A10" t="s">
        <v>22</v>
      </c>
      <c r="B10" s="9" t="s">
        <v>9</v>
      </c>
      <c r="C10" s="17">
        <f>C11+C12</f>
        <v>6315</v>
      </c>
      <c r="D10" s="39">
        <f>D11+D12</f>
        <v>7080</v>
      </c>
      <c r="E10" s="39">
        <f>E11+E12</f>
        <v>8489</v>
      </c>
      <c r="F10" s="23">
        <f>F6-F9</f>
        <v>9673.9080502675206</v>
      </c>
      <c r="G10" s="23">
        <f t="shared" ref="G10:I10" si="4">G6-G9</f>
        <v>10327.604631331982</v>
      </c>
      <c r="H10" s="23">
        <f t="shared" si="4"/>
        <v>10347.763301630799</v>
      </c>
      <c r="I10" s="66">
        <f t="shared" si="4"/>
        <v>11045.598242631542</v>
      </c>
      <c r="J10" s="66">
        <f>J6-J9</f>
        <v>11467.418831823412</v>
      </c>
      <c r="K10" t="s">
        <v>93</v>
      </c>
      <c r="O10" s="24" t="s">
        <v>0</v>
      </c>
      <c r="P10" s="24"/>
      <c r="Q10" s="24"/>
      <c r="R10" s="24"/>
      <c r="S10" s="24"/>
      <c r="T10" s="24"/>
      <c r="U10" s="24"/>
      <c r="V10" s="24"/>
      <c r="W10" s="24"/>
    </row>
    <row r="11" spans="1:24" x14ac:dyDescent="0.25">
      <c r="B11" s="8" t="s">
        <v>10</v>
      </c>
      <c r="C11" s="16">
        <v>1492</v>
      </c>
      <c r="D11" s="16">
        <v>1645</v>
      </c>
      <c r="E11" s="16">
        <v>1781</v>
      </c>
      <c r="F11" s="42">
        <f>S5</f>
        <v>2056.5589</v>
      </c>
      <c r="G11" s="42">
        <f>T5</f>
        <v>2297.49990063</v>
      </c>
      <c r="H11" s="42">
        <f>U5</f>
        <v>2452.8340596885732</v>
      </c>
      <c r="I11" s="42">
        <f>V5</f>
        <v>2622.7245385240899</v>
      </c>
      <c r="J11" s="42">
        <f>W5</f>
        <v>2852.7893494270993</v>
      </c>
      <c r="O11" s="25" t="s">
        <v>4</v>
      </c>
      <c r="P11" s="26">
        <v>43830</v>
      </c>
      <c r="Q11" s="26">
        <v>44196</v>
      </c>
      <c r="R11" s="26">
        <v>44561</v>
      </c>
      <c r="S11" s="27">
        <v>44926</v>
      </c>
      <c r="T11" s="27">
        <v>45291</v>
      </c>
      <c r="U11" s="27">
        <v>45657</v>
      </c>
      <c r="V11" s="27">
        <v>46022</v>
      </c>
      <c r="W11" s="27">
        <v>46387</v>
      </c>
    </row>
    <row r="12" spans="1:24" x14ac:dyDescent="0.25">
      <c r="B12" s="9" t="s">
        <v>87</v>
      </c>
      <c r="C12" s="17">
        <f>C6-C8</f>
        <v>4823</v>
      </c>
      <c r="D12" s="40">
        <f>D6-D8</f>
        <v>5435</v>
      </c>
      <c r="E12" s="40">
        <f>E6-E8</f>
        <v>6708</v>
      </c>
      <c r="F12" s="23">
        <f>F10-F11</f>
        <v>7617.3491502675206</v>
      </c>
      <c r="G12" s="23">
        <f>G10-G11</f>
        <v>8030.1047307019817</v>
      </c>
      <c r="H12" s="23">
        <f>H10-H11</f>
        <v>7894.9292419422254</v>
      </c>
      <c r="I12" s="23">
        <f>I10-I11</f>
        <v>8422.8737041074528</v>
      </c>
      <c r="J12" s="23">
        <f>J10-J11</f>
        <v>8614.6294823963126</v>
      </c>
      <c r="O12" s="31" t="s">
        <v>97</v>
      </c>
      <c r="P12" s="34">
        <v>6.8400000000000002E-2</v>
      </c>
      <c r="Q12" s="35">
        <v>7.5499999999999998E-2</v>
      </c>
      <c r="R12" s="35">
        <v>6.7500000000000004E-2</v>
      </c>
      <c r="S12" s="35">
        <v>8.09E-2</v>
      </c>
      <c r="T12" s="35">
        <v>8.43E-2</v>
      </c>
      <c r="U12" s="35">
        <v>8.3900000000000002E-2</v>
      </c>
      <c r="V12" s="35">
        <v>8.3599999999999994E-2</v>
      </c>
      <c r="W12" s="36">
        <f>AVERAGE(T12:V12)</f>
        <v>8.3933333333333346E-2</v>
      </c>
    </row>
    <row r="13" spans="1:24" x14ac:dyDescent="0.25">
      <c r="B13" s="8" t="s">
        <v>11</v>
      </c>
      <c r="C13" s="16">
        <v>1061</v>
      </c>
      <c r="D13" s="18">
        <v>1308</v>
      </c>
      <c r="E13" s="18">
        <v>1601</v>
      </c>
      <c r="F13" s="43">
        <f>F12*F29</f>
        <v>1873.8678909658101</v>
      </c>
      <c r="G13" s="43">
        <f>G12*G29</f>
        <v>2079.7971252518132</v>
      </c>
      <c r="H13" s="43">
        <f>H12*H29</f>
        <v>1926.3627350339029</v>
      </c>
      <c r="I13" s="43">
        <f>I12*I29</f>
        <v>2114.1412997309708</v>
      </c>
      <c r="J13" s="43">
        <f>J12*J29</f>
        <v>2165.1435432422736</v>
      </c>
      <c r="O13" s="31" t="s">
        <v>98</v>
      </c>
      <c r="P13" s="35">
        <v>0.13750000000000001</v>
      </c>
      <c r="Q13" s="35">
        <v>0.1191</v>
      </c>
      <c r="R13" s="35">
        <v>0.152</v>
      </c>
      <c r="S13" s="35">
        <v>0.153</v>
      </c>
      <c r="T13" s="35">
        <v>0.157</v>
      </c>
      <c r="U13" s="35">
        <v>0.157</v>
      </c>
      <c r="V13" s="35">
        <v>0.16700000000000001</v>
      </c>
      <c r="W13" s="36">
        <f>AVERAGE(T13:V13)</f>
        <v>0.16033333333333333</v>
      </c>
    </row>
    <row r="14" spans="1:24" x14ac:dyDescent="0.25">
      <c r="B14" s="9" t="s">
        <v>12</v>
      </c>
      <c r="C14" s="17">
        <f>C12*(1-C29)</f>
        <v>3747.471</v>
      </c>
      <c r="D14" s="39">
        <f>D12*(1-D29)</f>
        <v>4125.165</v>
      </c>
      <c r="E14" s="39">
        <f>E12*(1-E29)</f>
        <v>5098.08</v>
      </c>
      <c r="F14" s="23">
        <f>F12-F13</f>
        <v>5743.4812593017105</v>
      </c>
      <c r="G14" s="23">
        <f>G12-G13</f>
        <v>5950.3076054501689</v>
      </c>
      <c r="H14" s="23">
        <f>H12-H13</f>
        <v>5968.5665069083225</v>
      </c>
      <c r="I14" s="23">
        <f>I12-I13</f>
        <v>6308.732404376482</v>
      </c>
      <c r="J14" s="23">
        <f>J12-J13</f>
        <v>6449.4859391540394</v>
      </c>
    </row>
    <row r="15" spans="1:24" x14ac:dyDescent="0.25">
      <c r="B15" t="s">
        <v>13</v>
      </c>
      <c r="C15" s="16">
        <v>1492</v>
      </c>
      <c r="D15" s="18">
        <v>1645</v>
      </c>
      <c r="E15" s="18">
        <v>1781</v>
      </c>
      <c r="F15" s="14">
        <f>S5</f>
        <v>2056.5589</v>
      </c>
      <c r="G15" s="14">
        <f t="shared" ref="G15:J15" si="5">T5</f>
        <v>2297.49990063</v>
      </c>
      <c r="H15" s="14">
        <f t="shared" si="5"/>
        <v>2452.8340596885732</v>
      </c>
      <c r="I15" s="14">
        <f t="shared" si="5"/>
        <v>2622.7245385240899</v>
      </c>
      <c r="J15" s="14">
        <f t="shared" si="5"/>
        <v>2852.7893494270993</v>
      </c>
    </row>
    <row r="16" spans="1:24" x14ac:dyDescent="0.25">
      <c r="B16" t="s">
        <v>106</v>
      </c>
      <c r="C16" s="18">
        <f>-2998</f>
        <v>-2998</v>
      </c>
      <c r="D16" s="18">
        <f>-2810</f>
        <v>-2810</v>
      </c>
      <c r="E16" s="18">
        <f>-3588</f>
        <v>-3588</v>
      </c>
      <c r="F16" s="14">
        <f>-S6</f>
        <v>-3889.413</v>
      </c>
      <c r="G16" s="14">
        <f>-T6</f>
        <v>-4278.8550937</v>
      </c>
      <c r="H16" s="14">
        <f>-U6</f>
        <v>-4589.9278590119902</v>
      </c>
      <c r="I16" s="14">
        <f>-V6</f>
        <v>-5239.1746164297019</v>
      </c>
      <c r="J16" s="14">
        <f>-W6</f>
        <v>-5449.5300916379447</v>
      </c>
      <c r="O16" s="31" t="s">
        <v>97</v>
      </c>
      <c r="P16" t="s">
        <v>100</v>
      </c>
    </row>
    <row r="17" spans="1:24" x14ac:dyDescent="0.25">
      <c r="B17" t="s">
        <v>107</v>
      </c>
      <c r="C17" s="16">
        <v>-1263</v>
      </c>
      <c r="D17" s="16">
        <f t="shared" ref="D17" si="6">D18-C18</f>
        <v>-2437</v>
      </c>
      <c r="E17" s="16">
        <f t="shared" ref="E17:J17" si="7">E18-D18</f>
        <v>-1378</v>
      </c>
      <c r="F17" s="52">
        <f>F18-E18</f>
        <v>-1484.9587590124065</v>
      </c>
      <c r="G17" s="52">
        <f>G18-F18</f>
        <v>-589.58326835451226</v>
      </c>
      <c r="H17" s="52">
        <f t="shared" si="7"/>
        <v>-664.66203111720461</v>
      </c>
      <c r="I17" s="52">
        <f t="shared" si="7"/>
        <v>-1142.4431691812133</v>
      </c>
      <c r="J17" s="52">
        <f t="shared" si="7"/>
        <v>-1308.0598121034709</v>
      </c>
      <c r="O17" s="31" t="s">
        <v>98</v>
      </c>
      <c r="P17" t="s">
        <v>101</v>
      </c>
    </row>
    <row r="18" spans="1:24" x14ac:dyDescent="0.25">
      <c r="B18" s="6" t="s">
        <v>88</v>
      </c>
      <c r="C18" s="16">
        <v>-7497</v>
      </c>
      <c r="D18" s="18">
        <v>-9934</v>
      </c>
      <c r="E18" s="18">
        <v>-11312</v>
      </c>
      <c r="F18" s="51">
        <f>F19-F20</f>
        <v>-12796.958759012407</v>
      </c>
      <c r="G18" s="51">
        <f t="shared" ref="G18:J18" si="8">G19-G20</f>
        <v>-13386.542027366919</v>
      </c>
      <c r="H18" s="51">
        <f t="shared" si="8"/>
        <v>-14051.204058484123</v>
      </c>
      <c r="I18" s="51">
        <f t="shared" si="8"/>
        <v>-15193.647227665337</v>
      </c>
      <c r="J18" s="51">
        <f t="shared" si="8"/>
        <v>-16501.707039768808</v>
      </c>
    </row>
    <row r="19" spans="1:24" x14ac:dyDescent="0.25">
      <c r="B19" s="6" t="s">
        <v>14</v>
      </c>
      <c r="C19" s="16">
        <v>14041</v>
      </c>
      <c r="D19" s="18">
        <v>14815</v>
      </c>
      <c r="E19" s="18">
        <v>17330</v>
      </c>
      <c r="F19" s="51">
        <f>T29</f>
        <v>20415.163196543152</v>
      </c>
      <c r="G19" s="51">
        <f>U29</f>
        <v>21772.050260304317</v>
      </c>
      <c r="H19" s="51">
        <f>V29</f>
        <v>22789.273241515875</v>
      </c>
      <c r="I19" s="51">
        <f>W29</f>
        <v>24597.294902471658</v>
      </c>
      <c r="J19" s="51">
        <f>X29</f>
        <v>26681.675152012016</v>
      </c>
    </row>
    <row r="20" spans="1:24" x14ac:dyDescent="0.25">
      <c r="B20" s="6" t="s">
        <v>15</v>
      </c>
      <c r="C20" s="16">
        <v>21538</v>
      </c>
      <c r="D20" s="18">
        <v>24749</v>
      </c>
      <c r="E20" s="18">
        <v>28642</v>
      </c>
      <c r="F20" s="51">
        <f>T36</f>
        <v>33212.121955555558</v>
      </c>
      <c r="G20" s="51">
        <f>U36</f>
        <v>35158.592287671236</v>
      </c>
      <c r="H20" s="51">
        <f>V36</f>
        <v>36840.477299999999</v>
      </c>
      <c r="I20" s="51">
        <f>W36</f>
        <v>39790.942130136995</v>
      </c>
      <c r="J20" s="51">
        <f>X36</f>
        <v>43183.382191780824</v>
      </c>
    </row>
    <row r="21" spans="1:24" x14ac:dyDescent="0.25">
      <c r="A21" t="s">
        <v>22</v>
      </c>
      <c r="B21" s="10" t="s">
        <v>16</v>
      </c>
      <c r="C21" s="17">
        <f>C12*(1-C29)+C15+C16+C17</f>
        <v>978.47099999999955</v>
      </c>
      <c r="D21" s="17">
        <f>D12*(1-D29)+D15+D16+D17</f>
        <v>523.16499999999996</v>
      </c>
      <c r="E21" s="17">
        <f>E12*(1-E29)+E15+E16+E17</f>
        <v>1913.08</v>
      </c>
      <c r="F21" s="17">
        <f>F14+F15+F16-F17</f>
        <v>5395.5859183141165</v>
      </c>
      <c r="G21" s="17">
        <f>G14+G15+G16-G17</f>
        <v>4558.5356807346816</v>
      </c>
      <c r="H21" s="17">
        <f>H14+H15+H16-H17</f>
        <v>4496.1347387021106</v>
      </c>
      <c r="I21" s="17">
        <f>I14+I15+I16-I17</f>
        <v>4834.7254956520828</v>
      </c>
      <c r="J21" s="17">
        <f>J14+J15+J16-J17</f>
        <v>5160.805009046665</v>
      </c>
    </row>
    <row r="22" spans="1:24" x14ac:dyDescent="0.25">
      <c r="B22" s="1"/>
      <c r="C22" s="1"/>
      <c r="D22" s="1"/>
      <c r="E22" s="1"/>
      <c r="F22" s="1"/>
      <c r="G22" s="1"/>
      <c r="H22" s="1"/>
      <c r="I22" s="1"/>
      <c r="J22" s="1"/>
      <c r="K22" s="1"/>
    </row>
    <row r="23" spans="1:24" x14ac:dyDescent="0.25">
      <c r="B23" s="2" t="s">
        <v>0</v>
      </c>
      <c r="C23" s="2"/>
      <c r="D23" s="2"/>
      <c r="E23" s="2"/>
      <c r="F23" s="2"/>
      <c r="G23" s="2"/>
      <c r="H23" s="2"/>
      <c r="I23" s="2"/>
      <c r="J23" s="2"/>
    </row>
    <row r="24" spans="1:24" x14ac:dyDescent="0.25">
      <c r="B24" s="11" t="str">
        <f t="shared" ref="B24" si="9">B3</f>
        <v>Fiscal Year</v>
      </c>
      <c r="C24" s="4">
        <v>43466</v>
      </c>
      <c r="D24" s="4">
        <v>43832</v>
      </c>
      <c r="E24" s="4">
        <v>44199</v>
      </c>
      <c r="F24" s="4">
        <v>44756</v>
      </c>
      <c r="G24" s="4">
        <v>45122</v>
      </c>
      <c r="H24" s="4">
        <v>45489</v>
      </c>
      <c r="I24" s="4">
        <v>45855</v>
      </c>
      <c r="J24" s="4">
        <v>46220</v>
      </c>
      <c r="O24" s="2" t="s">
        <v>131</v>
      </c>
      <c r="P24" s="24"/>
      <c r="Q24" s="24"/>
      <c r="R24" s="24"/>
      <c r="S24" s="24"/>
      <c r="T24" s="24"/>
      <c r="U24" s="24"/>
      <c r="V24" s="24"/>
      <c r="W24" s="24"/>
      <c r="X24" s="24"/>
    </row>
    <row r="25" spans="1:24" x14ac:dyDescent="0.25">
      <c r="B25" s="12" t="s">
        <v>17</v>
      </c>
      <c r="C25" s="15">
        <f>(152703-141576)/141576</f>
        <v>7.8593829462620779E-2</v>
      </c>
      <c r="D25" s="15">
        <f>(166761-152703)/152703</f>
        <v>9.2061059704131545E-2</v>
      </c>
      <c r="E25" s="15">
        <f>(195929-166761)/166761</f>
        <v>0.1749090015051481</v>
      </c>
      <c r="F25" s="15">
        <f>(226954-195929)/195929</f>
        <v>0.15834817714580282</v>
      </c>
      <c r="G25" s="15">
        <f>(242290-226954)/226954</f>
        <v>6.7573164606043512E-2</v>
      </c>
      <c r="H25" s="15">
        <f>(254453-242290)/242290</f>
        <v>5.0200173345990341E-2</v>
      </c>
      <c r="I25" s="15">
        <f>(275235-254453)/254453</f>
        <v>8.1673236314761463E-2</v>
      </c>
      <c r="J25" s="15">
        <f>AVERAGE(G25:I25)</f>
        <v>6.6482191422265094E-2</v>
      </c>
      <c r="O25" s="18" t="s">
        <v>4</v>
      </c>
      <c r="P25" s="18" t="s">
        <v>108</v>
      </c>
      <c r="Q25" s="18" t="s">
        <v>109</v>
      </c>
      <c r="R25" s="18" t="s">
        <v>110</v>
      </c>
      <c r="S25" s="18" t="s">
        <v>111</v>
      </c>
      <c r="T25" s="18" t="s">
        <v>112</v>
      </c>
      <c r="U25" s="18" t="s">
        <v>113</v>
      </c>
      <c r="V25" s="18" t="s">
        <v>114</v>
      </c>
      <c r="W25" s="18" t="s">
        <v>115</v>
      </c>
      <c r="X25" s="18" t="s">
        <v>116</v>
      </c>
    </row>
    <row r="26" spans="1:24" x14ac:dyDescent="0.25">
      <c r="B26" s="7"/>
      <c r="C26" s="7"/>
      <c r="D26" s="7"/>
      <c r="E26" s="7"/>
      <c r="F26" s="7"/>
      <c r="G26" s="7"/>
      <c r="H26" s="7"/>
      <c r="I26" s="7"/>
      <c r="J26" s="15"/>
      <c r="O26" s="1" t="s">
        <v>117</v>
      </c>
      <c r="P26" s="17">
        <v>2241</v>
      </c>
      <c r="Q26" s="17">
        <v>1535</v>
      </c>
      <c r="R26" s="17">
        <v>1550</v>
      </c>
      <c r="S26" s="17">
        <v>1803</v>
      </c>
      <c r="T26" s="50">
        <f>T43*T40/365</f>
        <v>2114.0920547945207</v>
      </c>
      <c r="U26" s="50">
        <f>U43*U40/365</f>
        <v>2256.9479452054793</v>
      </c>
      <c r="V26" s="50">
        <f>V43*V40/365</f>
        <v>2370.247123287671</v>
      </c>
      <c r="W26" s="50">
        <f>W43*W40/365</f>
        <v>2563.8328767123289</v>
      </c>
      <c r="X26" s="50">
        <f>X43*X40/365</f>
        <v>2785.205479452055</v>
      </c>
    </row>
    <row r="27" spans="1:24" x14ac:dyDescent="0.25">
      <c r="B27" s="7" t="s">
        <v>18</v>
      </c>
      <c r="C27" s="15">
        <f>132886/152703</f>
        <v>0.87022520841109863</v>
      </c>
      <c r="D27" s="15">
        <f>AVERAGE(C27:C27)</f>
        <v>0.87022520841109863</v>
      </c>
      <c r="E27" s="15">
        <f>AVERAGE(C27:D27)</f>
        <v>0.87022520841109863</v>
      </c>
      <c r="F27" s="15">
        <f t="shared" ref="F27:H27" si="10">AVERAGE(C27:E27)</f>
        <v>0.87022520841109863</v>
      </c>
      <c r="G27" s="15">
        <f t="shared" si="10"/>
        <v>0.87022520841109863</v>
      </c>
      <c r="H27" s="15">
        <f t="shared" si="10"/>
        <v>0.87022520841109863</v>
      </c>
      <c r="I27" s="15">
        <f>AVERAGE(F27:H27)</f>
        <v>0.87022520841109863</v>
      </c>
      <c r="J27" s="15">
        <f>AVERAGE(G27:I27)</f>
        <v>0.87022520841109863</v>
      </c>
      <c r="O27" t="s">
        <v>118</v>
      </c>
      <c r="P27" s="16">
        <v>11040</v>
      </c>
      <c r="Q27" s="16">
        <v>11395</v>
      </c>
      <c r="R27" s="16">
        <v>12242</v>
      </c>
      <c r="S27" s="16">
        <v>14215</v>
      </c>
      <c r="T27" s="50">
        <f>T44*T41/360</f>
        <v>16781.318333333336</v>
      </c>
      <c r="U27" s="50">
        <f t="shared" ref="U27:X27" si="11">U44*U41/360</f>
        <v>17892.654999999999</v>
      </c>
      <c r="V27" s="50">
        <f t="shared" si="11"/>
        <v>18715.131666666668</v>
      </c>
      <c r="W27" s="50">
        <f t="shared" si="11"/>
        <v>20190.404999999999</v>
      </c>
      <c r="X27" s="50">
        <f t="shared" si="11"/>
        <v>21894.275000000001</v>
      </c>
    </row>
    <row r="28" spans="1:24" x14ac:dyDescent="0.25">
      <c r="B28" s="7" t="s">
        <v>19</v>
      </c>
      <c r="C28" s="82">
        <f>14994/152703</f>
        <v>9.8190605292626867E-2</v>
      </c>
      <c r="D28" s="82">
        <f>16387/166761</f>
        <v>9.8266381228224828E-2</v>
      </c>
      <c r="E28" s="82">
        <f>18537/195929</f>
        <v>9.4610802892884663E-2</v>
      </c>
      <c r="F28" s="82">
        <f>19779/226954</f>
        <v>8.7149818906033821E-2</v>
      </c>
      <c r="G28" s="82">
        <f>19779/226954</f>
        <v>8.7149818906033821E-2</v>
      </c>
      <c r="H28" s="82">
        <f>21590/242290</f>
        <v>8.910809360683479E-2</v>
      </c>
      <c r="I28" s="82">
        <f>22810/254453</f>
        <v>8.964327400345054E-2</v>
      </c>
      <c r="J28" s="82">
        <f>24966/275235</f>
        <v>9.0707940487220015E-2</v>
      </c>
      <c r="O28" t="s">
        <v>47</v>
      </c>
      <c r="P28" s="18">
        <v>321</v>
      </c>
      <c r="Q28" s="16">
        <v>1111</v>
      </c>
      <c r="R28" s="16">
        <v>1023</v>
      </c>
      <c r="S28" s="16">
        <v>1312</v>
      </c>
      <c r="T28">
        <f>T47*T40</f>
        <v>1519.7528084152932</v>
      </c>
      <c r="U28">
        <f t="shared" ref="U28:X28" si="12">U47*U40</f>
        <v>1622.4473150988367</v>
      </c>
      <c r="V28">
        <f t="shared" si="12"/>
        <v>1703.8944515615349</v>
      </c>
      <c r="W28">
        <f>W47*W40</f>
        <v>1843.0570257593311</v>
      </c>
      <c r="X28">
        <f t="shared" si="12"/>
        <v>2002.1946725599578</v>
      </c>
    </row>
    <row r="29" spans="1:24" x14ac:dyDescent="0.25">
      <c r="B29" s="7" t="s">
        <v>20</v>
      </c>
      <c r="C29" s="15">
        <v>0.223</v>
      </c>
      <c r="D29" s="15">
        <v>0.24099999999999999</v>
      </c>
      <c r="E29" s="15">
        <v>0.24</v>
      </c>
      <c r="F29" s="15">
        <v>0.246</v>
      </c>
      <c r="G29" s="15">
        <v>0.25900000000000001</v>
      </c>
      <c r="H29" s="15">
        <v>0.24399999999999999</v>
      </c>
      <c r="I29" s="15">
        <v>0.251</v>
      </c>
      <c r="J29" s="15">
        <f>AVERAGE(G29:I29)</f>
        <v>0.25133333333333335</v>
      </c>
      <c r="O29" s="1" t="s">
        <v>14</v>
      </c>
      <c r="P29" s="17">
        <v>20289</v>
      </c>
      <c r="Q29" s="17">
        <v>23485</v>
      </c>
      <c r="R29" s="17">
        <v>28120</v>
      </c>
      <c r="S29" s="17">
        <v>29505</v>
      </c>
      <c r="T29" s="86">
        <f>SUM(T26:T28)</f>
        <v>20415.163196543152</v>
      </c>
      <c r="U29" s="86">
        <f>SUM(U26:U28)</f>
        <v>21772.050260304317</v>
      </c>
      <c r="V29" s="86">
        <f>SUM(V26:V28)</f>
        <v>22789.273241515875</v>
      </c>
      <c r="W29" s="86">
        <f>SUM(W26:W28)</f>
        <v>24597.294902471658</v>
      </c>
      <c r="X29" s="86">
        <f>SUM(X26:X28)</f>
        <v>26681.675152012016</v>
      </c>
    </row>
    <row r="30" spans="1:24" x14ac:dyDescent="0.25">
      <c r="O30" s="1"/>
      <c r="P30" s="19"/>
      <c r="Q30" s="19"/>
      <c r="R30" s="19"/>
      <c r="S30" s="19"/>
      <c r="T30" s="1"/>
      <c r="U30" s="1"/>
      <c r="V30" s="1"/>
      <c r="W30" s="1"/>
      <c r="X30" s="1"/>
    </row>
    <row r="31" spans="1:24" x14ac:dyDescent="0.25">
      <c r="O31" t="s">
        <v>53</v>
      </c>
      <c r="P31" s="16">
        <v>11237</v>
      </c>
      <c r="Q31" s="16">
        <v>11679</v>
      </c>
      <c r="R31" s="16">
        <v>14172</v>
      </c>
      <c r="S31" s="16">
        <v>16278</v>
      </c>
      <c r="T31" s="51">
        <f>T45*T41/360</f>
        <v>18664.370555555557</v>
      </c>
      <c r="U31" s="51">
        <f>U45*U41/365</f>
        <v>19627.803287671235</v>
      </c>
      <c r="V31" s="51">
        <f t="shared" ref="V31:X31" si="13">V45*V41/365</f>
        <v>20530.04</v>
      </c>
      <c r="W31" s="51">
        <f t="shared" si="13"/>
        <v>22148.378630136991</v>
      </c>
      <c r="X31" s="51">
        <f t="shared" si="13"/>
        <v>24017.482191780822</v>
      </c>
    </row>
    <row r="32" spans="1:24" x14ac:dyDescent="0.25">
      <c r="B32" s="7" t="s">
        <v>79</v>
      </c>
      <c r="C32" t="s">
        <v>81</v>
      </c>
      <c r="O32" t="s">
        <v>119</v>
      </c>
      <c r="P32" s="16">
        <v>2994</v>
      </c>
      <c r="Q32" s="16">
        <v>3176</v>
      </c>
      <c r="R32" s="16">
        <v>3605</v>
      </c>
      <c r="S32" s="16">
        <v>4090</v>
      </c>
      <c r="T32">
        <f>T48*T40</f>
        <v>4788.7294000000002</v>
      </c>
      <c r="U32">
        <f>U48*U40</f>
        <v>5112.3190000000004</v>
      </c>
      <c r="V32">
        <f>V48*V40</f>
        <v>5368.9583000000002</v>
      </c>
      <c r="W32">
        <f>W48*W40</f>
        <v>5807.4585000000006</v>
      </c>
      <c r="X32">
        <f>X48*X40</f>
        <v>6308.9000000000005</v>
      </c>
    </row>
    <row r="33" spans="2:24" x14ac:dyDescent="0.25">
      <c r="O33" t="s">
        <v>120</v>
      </c>
      <c r="P33" s="16">
        <v>1057</v>
      </c>
      <c r="Q33" s="16">
        <v>1180</v>
      </c>
      <c r="R33" s="16">
        <v>1393</v>
      </c>
      <c r="S33" s="16">
        <v>1671</v>
      </c>
      <c r="T33">
        <f>T49*T40</f>
        <v>1951.8044</v>
      </c>
      <c r="U33">
        <f t="shared" ref="U33:X33" si="14">U49*U40</f>
        <v>2083.694</v>
      </c>
      <c r="V33">
        <f t="shared" si="14"/>
        <v>2188.2957999999999</v>
      </c>
      <c r="W33">
        <f t="shared" si="14"/>
        <v>2367.0210000000002</v>
      </c>
      <c r="X33">
        <f t="shared" si="14"/>
        <v>2571.4</v>
      </c>
    </row>
    <row r="34" spans="2:24" x14ac:dyDescent="0.25">
      <c r="B34" s="7" t="s">
        <v>80</v>
      </c>
      <c r="C34" t="s">
        <v>82</v>
      </c>
      <c r="O34" t="s">
        <v>121</v>
      </c>
      <c r="P34" s="16">
        <v>1624</v>
      </c>
      <c r="Q34" s="16">
        <v>1711</v>
      </c>
      <c r="R34" s="16">
        <v>1851</v>
      </c>
      <c r="S34" s="16">
        <v>2042</v>
      </c>
      <c r="T34">
        <f>T50*T40</f>
        <v>2473.7986000000001</v>
      </c>
      <c r="U34">
        <f>U50*U40</f>
        <v>2640.9609999999998</v>
      </c>
      <c r="V34">
        <f>V50*V40</f>
        <v>2773.5376999999999</v>
      </c>
      <c r="W34">
        <f>W50*W40</f>
        <v>3000.0614999999998</v>
      </c>
      <c r="X34">
        <f>X50*X40</f>
        <v>3259.1</v>
      </c>
    </row>
    <row r="35" spans="2:24" x14ac:dyDescent="0.25">
      <c r="B35" s="7" t="s">
        <v>84</v>
      </c>
      <c r="C35" t="s">
        <v>83</v>
      </c>
      <c r="M35" t="s">
        <v>160</v>
      </c>
      <c r="O35" t="s">
        <v>57</v>
      </c>
      <c r="P35" s="16">
        <v>2924</v>
      </c>
      <c r="Q35" s="16">
        <v>3792</v>
      </c>
      <c r="R35" s="16">
        <v>3728</v>
      </c>
      <c r="S35" s="16">
        <v>4561</v>
      </c>
      <c r="T35">
        <f>T51*T40</f>
        <v>5333.4189999999999</v>
      </c>
      <c r="U35">
        <f t="shared" ref="U35:W35" si="15">U51*U40</f>
        <v>5693.8149999999996</v>
      </c>
      <c r="V35">
        <f t="shared" si="15"/>
        <v>5979.6454999999996</v>
      </c>
      <c r="W35">
        <f t="shared" si="15"/>
        <v>6468.0225</v>
      </c>
      <c r="X35">
        <f>X51*X40</f>
        <v>7026.5</v>
      </c>
    </row>
    <row r="36" spans="2:24" x14ac:dyDescent="0.25">
      <c r="B36" s="7" t="s">
        <v>85</v>
      </c>
      <c r="C36" t="s">
        <v>86</v>
      </c>
      <c r="O36" s="1" t="s">
        <v>122</v>
      </c>
      <c r="P36" s="17">
        <v>19836</v>
      </c>
      <c r="Q36" s="17">
        <v>23237</v>
      </c>
      <c r="R36" s="17">
        <v>24844</v>
      </c>
      <c r="S36" s="17">
        <v>29441</v>
      </c>
      <c r="T36" s="86">
        <f>SUM(T31:T35)</f>
        <v>33212.121955555558</v>
      </c>
      <c r="U36" s="86">
        <f>SUM(U31:U35)</f>
        <v>35158.592287671236</v>
      </c>
      <c r="V36" s="86">
        <f>SUM(V31:V35)</f>
        <v>36840.477299999999</v>
      </c>
      <c r="W36" s="86">
        <f>SUM(W31:W35)</f>
        <v>39790.942130136995</v>
      </c>
      <c r="X36" s="86">
        <f>SUM(X31:X35)</f>
        <v>43183.382191780824</v>
      </c>
    </row>
    <row r="37" spans="2:24" x14ac:dyDescent="0.25">
      <c r="O37" s="1"/>
      <c r="P37" s="1"/>
      <c r="Q37" s="1"/>
      <c r="R37" s="1"/>
      <c r="S37" s="1"/>
      <c r="T37" s="1"/>
      <c r="U37" s="1"/>
      <c r="V37" s="1"/>
      <c r="W37" s="1"/>
      <c r="X37" s="1"/>
    </row>
    <row r="38" spans="2:24" x14ac:dyDescent="0.25">
      <c r="O38" s="2" t="s">
        <v>0</v>
      </c>
      <c r="P38" s="24"/>
      <c r="Q38" s="24"/>
      <c r="R38" s="24"/>
      <c r="S38" s="24"/>
      <c r="T38" s="24"/>
      <c r="U38" s="24"/>
      <c r="V38" s="24"/>
      <c r="W38" s="24"/>
      <c r="X38" s="24"/>
    </row>
    <row r="39" spans="2:24" x14ac:dyDescent="0.25">
      <c r="B39" s="7" t="s">
        <v>104</v>
      </c>
      <c r="C39" t="s">
        <v>105</v>
      </c>
      <c r="O39" s="18" t="s">
        <v>4</v>
      </c>
      <c r="P39" s="18" t="s">
        <v>108</v>
      </c>
      <c r="Q39" s="18" t="s">
        <v>109</v>
      </c>
      <c r="R39" s="18" t="s">
        <v>110</v>
      </c>
      <c r="S39" s="18" t="s">
        <v>111</v>
      </c>
      <c r="T39" s="18" t="s">
        <v>112</v>
      </c>
      <c r="U39" s="18" t="s">
        <v>113</v>
      </c>
      <c r="V39" s="18" t="s">
        <v>114</v>
      </c>
      <c r="W39" s="18" t="s">
        <v>115</v>
      </c>
      <c r="X39" s="18" t="s">
        <v>116</v>
      </c>
    </row>
    <row r="40" spans="2:24" x14ac:dyDescent="0.25">
      <c r="O40" s="44" t="s">
        <v>1</v>
      </c>
      <c r="P40" s="45">
        <v>141576</v>
      </c>
      <c r="Q40" s="45">
        <v>152703</v>
      </c>
      <c r="R40" s="45">
        <v>166761</v>
      </c>
      <c r="S40" s="45">
        <v>195929</v>
      </c>
      <c r="T40" s="44">
        <v>226954</v>
      </c>
      <c r="U40" s="44">
        <v>242290</v>
      </c>
      <c r="V40" s="44">
        <v>254453</v>
      </c>
      <c r="W40" s="44">
        <v>275235</v>
      </c>
      <c r="X40" s="44">
        <v>299000</v>
      </c>
    </row>
    <row r="41" spans="2:24" x14ac:dyDescent="0.25">
      <c r="O41" s="46" t="s">
        <v>2</v>
      </c>
      <c r="P41" s="47">
        <v>123152</v>
      </c>
      <c r="Q41" s="47">
        <v>132886</v>
      </c>
      <c r="R41" s="47">
        <v>144939</v>
      </c>
      <c r="S41" s="47">
        <v>170684</v>
      </c>
      <c r="T41" s="46">
        <v>199382</v>
      </c>
      <c r="U41" s="46">
        <v>212586</v>
      </c>
      <c r="V41" s="46">
        <v>222358</v>
      </c>
      <c r="W41" s="46">
        <v>239886</v>
      </c>
      <c r="X41" s="44">
        <v>260130</v>
      </c>
    </row>
    <row r="42" spans="2:24" x14ac:dyDescent="0.25">
      <c r="O42" s="46"/>
      <c r="P42" s="46"/>
      <c r="Q42" s="46"/>
      <c r="R42" s="46"/>
      <c r="S42" s="46"/>
      <c r="T42" s="46"/>
      <c r="U42" s="46"/>
      <c r="V42" s="46"/>
      <c r="W42" s="46"/>
      <c r="X42" s="46"/>
    </row>
    <row r="43" spans="2:24" x14ac:dyDescent="0.25">
      <c r="O43" s="46" t="s">
        <v>123</v>
      </c>
      <c r="P43" s="48">
        <f>P26/P40*360</f>
        <v>5.6984234616036611</v>
      </c>
      <c r="Q43" s="48">
        <f>Q26/Q40*360</f>
        <v>3.6187894147462725</v>
      </c>
      <c r="R43" s="48">
        <f>R26/R40*360</f>
        <v>3.3461061039451674</v>
      </c>
      <c r="S43" s="48">
        <f>S26/S40*360</f>
        <v>3.3128327098081449</v>
      </c>
      <c r="T43" s="48">
        <v>3.4</v>
      </c>
      <c r="U43" s="48">
        <v>3.4</v>
      </c>
      <c r="V43" s="48">
        <v>3.4</v>
      </c>
      <c r="W43" s="48">
        <f>AVERAGE(T43:V43)</f>
        <v>3.4</v>
      </c>
      <c r="X43" s="48">
        <f t="shared" ref="X43" si="16">AVERAGE(U43:W43)</f>
        <v>3.4</v>
      </c>
    </row>
    <row r="44" spans="2:24" x14ac:dyDescent="0.25">
      <c r="O44" s="46" t="s">
        <v>124</v>
      </c>
      <c r="P44" s="48">
        <f>P27/P41*360</f>
        <v>32.272313888527997</v>
      </c>
      <c r="Q44" s="48">
        <f t="shared" ref="Q44:S44" si="17">Q27/Q41*360</f>
        <v>30.870069081769337</v>
      </c>
      <c r="R44" s="48">
        <f>R27/R41*360</f>
        <v>30.406722828224286</v>
      </c>
      <c r="S44" s="48">
        <f t="shared" si="17"/>
        <v>29.981720606500904</v>
      </c>
      <c r="T44" s="48">
        <v>30.3</v>
      </c>
      <c r="U44" s="48">
        <f>T44</f>
        <v>30.3</v>
      </c>
      <c r="V44" s="48">
        <f t="shared" ref="V44:W44" si="18">U44</f>
        <v>30.3</v>
      </c>
      <c r="W44" s="48">
        <f t="shared" si="18"/>
        <v>30.3</v>
      </c>
      <c r="X44" s="48">
        <f>AVERAGE(U44:W44)</f>
        <v>30.3</v>
      </c>
    </row>
    <row r="45" spans="2:24" x14ac:dyDescent="0.25">
      <c r="O45" s="46" t="s">
        <v>125</v>
      </c>
      <c r="P45" s="49">
        <v>32.78</v>
      </c>
      <c r="Q45" s="49">
        <f>Q31/Q41*360</f>
        <v>31.639450355944192</v>
      </c>
      <c r="R45" s="49">
        <f>R31/R41*360</f>
        <v>35.200463643325811</v>
      </c>
      <c r="S45" s="49">
        <f>S31/S41*360</f>
        <v>34.332919312882282</v>
      </c>
      <c r="T45" s="48">
        <v>33.700000000000003</v>
      </c>
      <c r="U45" s="48">
        <f>T45</f>
        <v>33.700000000000003</v>
      </c>
      <c r="V45" s="48">
        <f t="shared" ref="V45:X45" si="19">U45</f>
        <v>33.700000000000003</v>
      </c>
      <c r="W45" s="48">
        <f t="shared" si="19"/>
        <v>33.700000000000003</v>
      </c>
      <c r="X45" s="48">
        <f t="shared" si="19"/>
        <v>33.700000000000003</v>
      </c>
    </row>
    <row r="46" spans="2:24" x14ac:dyDescent="0.25">
      <c r="O46" s="46"/>
      <c r="P46" s="46"/>
      <c r="Q46" s="46"/>
      <c r="R46" s="46"/>
      <c r="S46" s="46"/>
      <c r="T46" s="46"/>
      <c r="U46" s="46"/>
      <c r="V46" s="46"/>
      <c r="W46" s="46"/>
      <c r="X46" s="46"/>
    </row>
    <row r="47" spans="2:24" x14ac:dyDescent="0.25">
      <c r="O47" s="46" t="s">
        <v>126</v>
      </c>
      <c r="P47" s="83">
        <f>P28/P$40</f>
        <v>2.2673334463468382E-3</v>
      </c>
      <c r="Q47" s="83">
        <f>Q28/Q$40</f>
        <v>7.2755610564298016E-3</v>
      </c>
      <c r="R47" s="83">
        <f>R28/R$40</f>
        <v>6.1345278572328063E-3</v>
      </c>
      <c r="S47" s="83">
        <f>S28/S$40</f>
        <v>6.6963032527088892E-3</v>
      </c>
      <c r="T47" s="83">
        <f>S47</f>
        <v>6.6963032527088892E-3</v>
      </c>
      <c r="U47" s="83">
        <f t="shared" ref="U47:X47" si="20">T47</f>
        <v>6.6963032527088892E-3</v>
      </c>
      <c r="V47" s="83">
        <f t="shared" si="20"/>
        <v>6.6963032527088892E-3</v>
      </c>
      <c r="W47" s="83">
        <f t="shared" si="20"/>
        <v>6.6963032527088892E-3</v>
      </c>
      <c r="X47" s="83">
        <f t="shared" si="20"/>
        <v>6.6963032527088892E-3</v>
      </c>
    </row>
    <row r="48" spans="2:24" x14ac:dyDescent="0.25">
      <c r="O48" s="46" t="s">
        <v>127</v>
      </c>
      <c r="P48" s="83">
        <f>P32/P$40</f>
        <v>2.1147652144431258E-2</v>
      </c>
      <c r="Q48" s="83">
        <f t="shared" ref="Q48" si="21">Q32/Q$40</f>
        <v>2.0798543578056751E-2</v>
      </c>
      <c r="R48" s="83">
        <f>R32/R$40</f>
        <v>2.1617764345380514E-2</v>
      </c>
      <c r="S48" s="83">
        <f>S32/S$40</f>
        <v>2.0874908767972072E-2</v>
      </c>
      <c r="T48" s="83">
        <v>2.1100000000000001E-2</v>
      </c>
      <c r="U48" s="83">
        <f>T48</f>
        <v>2.1100000000000001E-2</v>
      </c>
      <c r="V48" s="83">
        <f t="shared" ref="V48:X48" si="22">U48</f>
        <v>2.1100000000000001E-2</v>
      </c>
      <c r="W48" s="83">
        <f t="shared" si="22"/>
        <v>2.1100000000000001E-2</v>
      </c>
      <c r="X48" s="83">
        <f t="shared" si="22"/>
        <v>2.1100000000000001E-2</v>
      </c>
    </row>
    <row r="49" spans="15:24" x14ac:dyDescent="0.25">
      <c r="O49" s="46" t="s">
        <v>128</v>
      </c>
      <c r="P49" s="83">
        <f>P33/P$40</f>
        <v>7.4659546815844489E-3</v>
      </c>
      <c r="Q49" s="83">
        <f t="shared" ref="Q49" si="23">Q33/Q$40</f>
        <v>7.7274185837868277E-3</v>
      </c>
      <c r="R49" s="83">
        <f>R33/R$40</f>
        <v>8.3532720480208201E-3</v>
      </c>
      <c r="S49" s="83">
        <v>9.5999999999999992E-3</v>
      </c>
      <c r="T49" s="83">
        <v>8.6E-3</v>
      </c>
      <c r="U49" s="83">
        <f>T49</f>
        <v>8.6E-3</v>
      </c>
      <c r="V49" s="83">
        <f t="shared" ref="V49:X49" si="24">U49</f>
        <v>8.6E-3</v>
      </c>
      <c r="W49" s="83">
        <f t="shared" si="24"/>
        <v>8.6E-3</v>
      </c>
      <c r="X49" s="83">
        <f t="shared" si="24"/>
        <v>8.6E-3</v>
      </c>
    </row>
    <row r="50" spans="15:24" x14ac:dyDescent="0.25">
      <c r="O50" s="46" t="s">
        <v>129</v>
      </c>
      <c r="P50" s="34">
        <f>P34/P$40</f>
        <v>1.1470870769056903E-2</v>
      </c>
      <c r="Q50" s="34">
        <f t="shared" ref="Q50:S50" si="25">Q34/Q$40</f>
        <v>1.1204756946490901E-2</v>
      </c>
      <c r="R50" s="34">
        <f>R34/R$40</f>
        <v>1.1099717559861118E-2</v>
      </c>
      <c r="S50" s="34">
        <f t="shared" si="25"/>
        <v>1.0422142714963074E-2</v>
      </c>
      <c r="T50" s="83">
        <v>1.09E-2</v>
      </c>
      <c r="U50" s="83">
        <f>T50</f>
        <v>1.09E-2</v>
      </c>
      <c r="V50" s="83">
        <f t="shared" ref="V50:X50" si="26">U50</f>
        <v>1.09E-2</v>
      </c>
      <c r="W50" s="83">
        <f t="shared" si="26"/>
        <v>1.09E-2</v>
      </c>
      <c r="X50" s="83">
        <f t="shared" si="26"/>
        <v>1.09E-2</v>
      </c>
    </row>
    <row r="51" spans="15:24" x14ac:dyDescent="0.25">
      <c r="O51" s="46" t="s">
        <v>130</v>
      </c>
      <c r="P51" s="34">
        <f>P35/P$40</f>
        <v>2.0653218059558116E-2</v>
      </c>
      <c r="Q51" s="34">
        <f t="shared" ref="Q51:S51" si="27">Q35/Q$40</f>
        <v>2.4832518025186146E-2</v>
      </c>
      <c r="R51" s="34">
        <f t="shared" si="27"/>
        <v>2.2355346873669503E-2</v>
      </c>
      <c r="S51" s="34">
        <f t="shared" si="27"/>
        <v>2.3278840804577167E-2</v>
      </c>
      <c r="T51" s="83">
        <v>2.35E-2</v>
      </c>
      <c r="U51" s="83">
        <f>T51</f>
        <v>2.35E-2</v>
      </c>
      <c r="V51" s="83">
        <f t="shared" ref="V51:X51" si="28">U51</f>
        <v>2.35E-2</v>
      </c>
      <c r="W51" s="83">
        <f t="shared" si="28"/>
        <v>2.35E-2</v>
      </c>
      <c r="X51" s="83">
        <f t="shared" si="28"/>
        <v>2.35E-2</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0EF11-A3E0-42A5-93FA-9BA2FA549BBE}">
  <dimension ref="B3:C19"/>
  <sheetViews>
    <sheetView workbookViewId="0">
      <selection activeCell="D6" sqref="D6"/>
    </sheetView>
  </sheetViews>
  <sheetFormatPr defaultRowHeight="15" x14ac:dyDescent="0.25"/>
  <cols>
    <col min="1" max="1" width="5.85546875" customWidth="1"/>
    <col min="2" max="2" width="36.5703125" customWidth="1"/>
    <col min="3" max="3" width="17" customWidth="1"/>
  </cols>
  <sheetData>
    <row r="3" spans="2:3" x14ac:dyDescent="0.25">
      <c r="B3" s="93" t="s">
        <v>147</v>
      </c>
      <c r="C3" s="94"/>
    </row>
    <row r="4" spans="2:3" x14ac:dyDescent="0.25">
      <c r="B4" s="69" t="s">
        <v>148</v>
      </c>
      <c r="C4" s="70">
        <v>465000</v>
      </c>
    </row>
    <row r="5" spans="2:3" x14ac:dyDescent="0.25">
      <c r="B5" s="69" t="s">
        <v>149</v>
      </c>
      <c r="C5" s="71">
        <v>8160</v>
      </c>
    </row>
    <row r="6" spans="2:3" x14ac:dyDescent="0.25">
      <c r="B6" s="69"/>
      <c r="C6" s="69"/>
    </row>
    <row r="7" spans="2:3" x14ac:dyDescent="0.25">
      <c r="B7" s="69" t="s">
        <v>150</v>
      </c>
      <c r="C7" s="72">
        <f>-IS!F10/C5</f>
        <v>1.6176470588235296E-2</v>
      </c>
    </row>
    <row r="8" spans="2:3" x14ac:dyDescent="0.25">
      <c r="B8" s="69" t="s">
        <v>151</v>
      </c>
      <c r="C8" s="73">
        <v>0.25</v>
      </c>
    </row>
    <row r="9" spans="2:3" x14ac:dyDescent="0.25">
      <c r="B9" s="69" t="s">
        <v>152</v>
      </c>
      <c r="C9" s="81">
        <f>C5/SUM(C4:C5)</f>
        <v>1.7245751965508496E-2</v>
      </c>
    </row>
    <row r="10" spans="2:3" x14ac:dyDescent="0.25">
      <c r="B10" s="74" t="s">
        <v>153</v>
      </c>
      <c r="C10" s="75">
        <f>C7*(1-C8)</f>
        <v>1.2132352941176473E-2</v>
      </c>
    </row>
    <row r="11" spans="2:3" x14ac:dyDescent="0.25">
      <c r="B11" s="76"/>
      <c r="C11" s="77"/>
    </row>
    <row r="12" spans="2:3" x14ac:dyDescent="0.25">
      <c r="B12" s="69" t="s">
        <v>154</v>
      </c>
      <c r="C12" s="73">
        <v>4.4999999999999998E-2</v>
      </c>
    </row>
    <row r="13" spans="2:3" x14ac:dyDescent="0.25">
      <c r="B13" s="69" t="s">
        <v>155</v>
      </c>
      <c r="C13" s="73">
        <v>0.09</v>
      </c>
    </row>
    <row r="14" spans="2:3" x14ac:dyDescent="0.25">
      <c r="B14" s="69" t="s">
        <v>156</v>
      </c>
      <c r="C14" s="72">
        <f>C13-C12</f>
        <v>4.4999999999999998E-2</v>
      </c>
    </row>
    <row r="15" spans="2:3" x14ac:dyDescent="0.25">
      <c r="B15" s="69" t="s">
        <v>157</v>
      </c>
      <c r="C15" s="78">
        <v>0.95</v>
      </c>
    </row>
    <row r="16" spans="2:3" x14ac:dyDescent="0.25">
      <c r="B16" s="69" t="s">
        <v>158</v>
      </c>
      <c r="C16" s="72">
        <f>C4/SUM(C4:C5)</f>
        <v>0.98275424803449152</v>
      </c>
    </row>
    <row r="17" spans="2:3" x14ac:dyDescent="0.25">
      <c r="B17" s="74" t="s">
        <v>159</v>
      </c>
      <c r="C17" s="75">
        <f>C12+C15*(C14)</f>
        <v>8.7749999999999995E-2</v>
      </c>
    </row>
    <row r="18" spans="2:3" x14ac:dyDescent="0.25">
      <c r="B18" s="69"/>
      <c r="C18" s="69"/>
    </row>
    <row r="19" spans="2:3" x14ac:dyDescent="0.25">
      <c r="B19" s="79" t="s">
        <v>21</v>
      </c>
      <c r="C19" s="80">
        <f>C10*C9+C17*C16</f>
        <v>8.6445916814608156E-2</v>
      </c>
    </row>
  </sheetData>
  <mergeCells count="1">
    <mergeCell ref="B3:C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27F6D-0ECC-4C1E-99DE-F33D214B43EB}">
  <sheetPr>
    <tabColor rgb="FF7030A0"/>
  </sheetPr>
  <dimension ref="A1"/>
  <sheetViews>
    <sheetView workbookViewId="0">
      <selection activeCell="E16" sqref="E16"/>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C6923-B575-4573-A288-9EE6BC645E81}">
  <dimension ref="A1:J17"/>
  <sheetViews>
    <sheetView workbookViewId="0">
      <selection activeCell="F10" sqref="F10"/>
    </sheetView>
  </sheetViews>
  <sheetFormatPr defaultRowHeight="15" x14ac:dyDescent="0.25"/>
  <cols>
    <col min="1" max="1" width="39.5703125" customWidth="1"/>
  </cols>
  <sheetData>
    <row r="1" spans="1:10" x14ac:dyDescent="0.25">
      <c r="A1" t="s">
        <v>32</v>
      </c>
      <c r="B1">
        <v>2025</v>
      </c>
      <c r="C1">
        <v>2024</v>
      </c>
      <c r="D1">
        <v>2023</v>
      </c>
      <c r="E1">
        <v>2022</v>
      </c>
      <c r="F1">
        <v>2021</v>
      </c>
    </row>
    <row r="2" spans="1:10" x14ac:dyDescent="0.25">
      <c r="A2" t="s">
        <v>28</v>
      </c>
      <c r="B2" s="14">
        <v>269912</v>
      </c>
      <c r="C2" s="14">
        <v>249625</v>
      </c>
      <c r="D2" s="14">
        <v>237710</v>
      </c>
      <c r="E2" s="14">
        <v>222730</v>
      </c>
      <c r="F2" s="14">
        <v>191714</v>
      </c>
      <c r="G2" s="14"/>
      <c r="H2" s="14"/>
      <c r="I2" s="14"/>
      <c r="J2" s="14"/>
    </row>
    <row r="3" spans="1:10" x14ac:dyDescent="0.25">
      <c r="A3" t="s">
        <v>29</v>
      </c>
      <c r="B3" s="14">
        <v>5323</v>
      </c>
      <c r="C3" s="14">
        <v>4828</v>
      </c>
      <c r="D3" s="14">
        <v>4580</v>
      </c>
      <c r="E3" s="14">
        <v>4224</v>
      </c>
      <c r="F3" s="14">
        <v>4215</v>
      </c>
      <c r="G3" s="14"/>
      <c r="H3" s="14"/>
      <c r="I3" s="14"/>
      <c r="J3" s="14"/>
    </row>
    <row r="4" spans="1:10" x14ac:dyDescent="0.25">
      <c r="A4" t="s">
        <v>30</v>
      </c>
      <c r="B4" s="14">
        <v>275235</v>
      </c>
      <c r="C4" s="14">
        <v>254453</v>
      </c>
      <c r="D4" s="14">
        <v>242290</v>
      </c>
      <c r="E4" s="14">
        <v>226954</v>
      </c>
      <c r="F4" s="14">
        <v>195929</v>
      </c>
      <c r="G4" s="14"/>
      <c r="H4" s="14"/>
      <c r="I4" s="14"/>
      <c r="J4" s="14"/>
    </row>
    <row r="5" spans="1:10" x14ac:dyDescent="0.25">
      <c r="A5" t="s">
        <v>33</v>
      </c>
      <c r="B5" s="14">
        <v>239886</v>
      </c>
      <c r="C5" s="14">
        <v>222358</v>
      </c>
      <c r="D5" s="14">
        <v>212586</v>
      </c>
      <c r="E5" s="14">
        <v>199382</v>
      </c>
      <c r="F5" s="14">
        <v>170684</v>
      </c>
      <c r="G5" s="14"/>
      <c r="H5" s="14"/>
      <c r="I5" s="14"/>
      <c r="J5" s="14"/>
    </row>
    <row r="6" spans="1:10" x14ac:dyDescent="0.25">
      <c r="A6" t="s">
        <v>5</v>
      </c>
      <c r="B6" s="14">
        <v>35349</v>
      </c>
      <c r="C6" s="14">
        <v>32095</v>
      </c>
      <c r="D6" s="14">
        <v>29704</v>
      </c>
      <c r="E6" s="14">
        <v>27572</v>
      </c>
      <c r="F6" s="14">
        <v>25245</v>
      </c>
      <c r="G6" s="14"/>
      <c r="H6" s="14"/>
      <c r="I6" s="14"/>
      <c r="J6" s="14"/>
    </row>
    <row r="7" spans="1:10" x14ac:dyDescent="0.25">
      <c r="A7" t="s">
        <v>34</v>
      </c>
      <c r="B7" s="14">
        <v>24966</v>
      </c>
      <c r="C7" s="14">
        <v>22810</v>
      </c>
      <c r="D7" s="14">
        <v>21590</v>
      </c>
      <c r="E7" s="14">
        <v>19779</v>
      </c>
      <c r="F7" s="14">
        <v>18537</v>
      </c>
      <c r="G7" s="14"/>
      <c r="H7" s="14"/>
      <c r="I7" s="14"/>
      <c r="J7" s="14"/>
    </row>
    <row r="8" spans="1:10" x14ac:dyDescent="0.25">
      <c r="A8" t="s">
        <v>35</v>
      </c>
      <c r="B8" s="14">
        <v>80</v>
      </c>
      <c r="C8" s="14">
        <v>70</v>
      </c>
      <c r="D8" s="14">
        <v>65</v>
      </c>
      <c r="E8" s="14">
        <v>60</v>
      </c>
      <c r="F8" s="14">
        <v>55</v>
      </c>
      <c r="G8" s="14"/>
      <c r="H8" s="14"/>
      <c r="I8" s="14"/>
      <c r="J8" s="14"/>
    </row>
    <row r="9" spans="1:10" x14ac:dyDescent="0.25">
      <c r="A9" t="s">
        <v>31</v>
      </c>
      <c r="B9">
        <v>10383</v>
      </c>
      <c r="C9">
        <v>9285</v>
      </c>
      <c r="D9">
        <v>8114</v>
      </c>
      <c r="E9">
        <v>7793</v>
      </c>
      <c r="F9">
        <v>6708</v>
      </c>
    </row>
    <row r="10" spans="1:10" x14ac:dyDescent="0.25">
      <c r="A10" t="s">
        <v>36</v>
      </c>
      <c r="B10">
        <v>-154</v>
      </c>
      <c r="C10">
        <v>-169</v>
      </c>
      <c r="D10">
        <v>-160</v>
      </c>
      <c r="E10">
        <v>-172</v>
      </c>
      <c r="F10">
        <v>-132</v>
      </c>
    </row>
    <row r="11" spans="1:10" x14ac:dyDescent="0.25">
      <c r="A11" t="s">
        <v>37</v>
      </c>
      <c r="B11" s="14">
        <v>589</v>
      </c>
      <c r="C11" s="14">
        <v>624</v>
      </c>
      <c r="D11" s="14">
        <v>533</v>
      </c>
      <c r="E11" s="14">
        <v>219</v>
      </c>
      <c r="F11" s="14">
        <v>104</v>
      </c>
      <c r="G11" s="14"/>
      <c r="H11" s="14"/>
      <c r="I11" s="14"/>
      <c r="J11" s="14"/>
    </row>
    <row r="12" spans="1:10" x14ac:dyDescent="0.25">
      <c r="A12" t="s">
        <v>38</v>
      </c>
      <c r="B12" s="14">
        <v>10818</v>
      </c>
      <c r="C12" s="14">
        <v>9740</v>
      </c>
      <c r="D12" s="14">
        <v>8487</v>
      </c>
      <c r="E12" s="14">
        <v>7840</v>
      </c>
      <c r="F12" s="14">
        <v>6680</v>
      </c>
      <c r="G12" s="14"/>
      <c r="H12" s="14"/>
      <c r="I12" s="14"/>
      <c r="J12" s="14"/>
    </row>
    <row r="13" spans="1:10" x14ac:dyDescent="0.25">
      <c r="A13" t="s">
        <v>39</v>
      </c>
      <c r="B13" s="14">
        <v>2719</v>
      </c>
      <c r="C13" s="14">
        <v>2373</v>
      </c>
      <c r="D13" s="14">
        <v>2195</v>
      </c>
      <c r="E13" s="14">
        <v>1925</v>
      </c>
      <c r="F13" s="14">
        <v>1601</v>
      </c>
      <c r="G13" s="14"/>
      <c r="H13" s="14"/>
      <c r="I13" s="14"/>
      <c r="J13" s="14"/>
    </row>
    <row r="14" spans="1:10" x14ac:dyDescent="0.25">
      <c r="A14" t="s">
        <v>23</v>
      </c>
      <c r="B14">
        <v>8099</v>
      </c>
      <c r="C14">
        <v>7367</v>
      </c>
      <c r="D14">
        <v>6292</v>
      </c>
      <c r="E14">
        <v>5915</v>
      </c>
      <c r="F14">
        <v>5079</v>
      </c>
    </row>
    <row r="15" spans="1:10" x14ac:dyDescent="0.25">
      <c r="A15" t="s">
        <v>40</v>
      </c>
      <c r="B15">
        <v>18.239999999999998</v>
      </c>
      <c r="C15">
        <v>16.59</v>
      </c>
      <c r="D15">
        <v>14.18</v>
      </c>
      <c r="E15">
        <v>13.17</v>
      </c>
      <c r="F15">
        <v>11.3</v>
      </c>
    </row>
    <row r="16" spans="1:10" x14ac:dyDescent="0.25">
      <c r="A16" t="s">
        <v>41</v>
      </c>
      <c r="B16">
        <v>18.21</v>
      </c>
      <c r="C16">
        <v>16.559999999999999</v>
      </c>
      <c r="D16">
        <v>14.16</v>
      </c>
      <c r="E16">
        <v>13.14</v>
      </c>
      <c r="F16">
        <v>11.27</v>
      </c>
    </row>
    <row r="17" spans="1:6" x14ac:dyDescent="0.25">
      <c r="A17" t="s">
        <v>42</v>
      </c>
      <c r="B17">
        <v>445</v>
      </c>
      <c r="C17">
        <v>445</v>
      </c>
      <c r="D17">
        <v>445</v>
      </c>
      <c r="E17">
        <v>450</v>
      </c>
      <c r="F17">
        <v>450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C63F0-1F49-41FB-8BED-77FF0672E530}">
  <dimension ref="A1:F27"/>
  <sheetViews>
    <sheetView workbookViewId="0">
      <selection activeCell="C29" sqref="C29"/>
    </sheetView>
  </sheetViews>
  <sheetFormatPr defaultRowHeight="15" x14ac:dyDescent="0.25"/>
  <cols>
    <col min="1" max="1" width="40.140625" customWidth="1"/>
  </cols>
  <sheetData>
    <row r="1" spans="1:6" x14ac:dyDescent="0.25">
      <c r="A1" t="s">
        <v>32</v>
      </c>
      <c r="B1">
        <v>2025</v>
      </c>
      <c r="C1">
        <v>2024</v>
      </c>
      <c r="D1">
        <v>2023</v>
      </c>
      <c r="E1">
        <v>2022</v>
      </c>
      <c r="F1">
        <v>2021</v>
      </c>
    </row>
    <row r="2" spans="1:6" x14ac:dyDescent="0.25">
      <c r="A2" t="s">
        <v>43</v>
      </c>
      <c r="B2">
        <v>15284</v>
      </c>
      <c r="C2">
        <v>11144</v>
      </c>
      <c r="D2">
        <v>15234</v>
      </c>
      <c r="E2">
        <v>11049</v>
      </c>
      <c r="F2">
        <v>12175</v>
      </c>
    </row>
    <row r="3" spans="1:6" x14ac:dyDescent="0.25">
      <c r="A3" t="s">
        <v>44</v>
      </c>
      <c r="B3">
        <v>0</v>
      </c>
      <c r="C3">
        <v>1238</v>
      </c>
      <c r="D3">
        <v>1534</v>
      </c>
      <c r="E3">
        <v>406</v>
      </c>
      <c r="F3">
        <v>406</v>
      </c>
    </row>
    <row r="4" spans="1:6" x14ac:dyDescent="0.25">
      <c r="A4" t="s">
        <v>45</v>
      </c>
      <c r="B4">
        <v>3203</v>
      </c>
      <c r="C4">
        <v>2721</v>
      </c>
      <c r="D4">
        <v>2285</v>
      </c>
      <c r="E4">
        <v>2241</v>
      </c>
      <c r="F4">
        <v>1803</v>
      </c>
    </row>
    <row r="5" spans="1:6" x14ac:dyDescent="0.25">
      <c r="A5" t="s">
        <v>46</v>
      </c>
      <c r="B5">
        <v>18116</v>
      </c>
      <c r="C5">
        <v>18647</v>
      </c>
      <c r="D5">
        <v>16651</v>
      </c>
      <c r="E5">
        <v>17907</v>
      </c>
      <c r="F5">
        <v>14215</v>
      </c>
    </row>
    <row r="6" spans="1:6" x14ac:dyDescent="0.25">
      <c r="A6" t="s">
        <v>47</v>
      </c>
      <c r="B6">
        <v>1777</v>
      </c>
      <c r="C6">
        <v>1734</v>
      </c>
      <c r="D6">
        <v>1709</v>
      </c>
      <c r="E6">
        <v>1499</v>
      </c>
      <c r="F6">
        <v>1312</v>
      </c>
    </row>
    <row r="7" spans="1:6" x14ac:dyDescent="0.25">
      <c r="A7" t="s">
        <v>48</v>
      </c>
      <c r="B7">
        <v>38380</v>
      </c>
      <c r="C7">
        <v>34246</v>
      </c>
      <c r="D7">
        <v>35879</v>
      </c>
      <c r="E7">
        <v>32696</v>
      </c>
      <c r="F7">
        <v>29505</v>
      </c>
    </row>
    <row r="9" spans="1:6" x14ac:dyDescent="0.25">
      <c r="A9" t="s">
        <v>49</v>
      </c>
      <c r="B9">
        <v>31909</v>
      </c>
      <c r="C9">
        <v>29032</v>
      </c>
      <c r="D9">
        <v>26684</v>
      </c>
      <c r="E9">
        <v>24646</v>
      </c>
      <c r="F9">
        <v>23492</v>
      </c>
    </row>
    <row r="10" spans="1:6" x14ac:dyDescent="0.25">
      <c r="A10" t="s">
        <v>50</v>
      </c>
      <c r="B10">
        <v>2700</v>
      </c>
      <c r="C10">
        <v>2617</v>
      </c>
      <c r="D10">
        <v>2713</v>
      </c>
      <c r="E10">
        <v>2800</v>
      </c>
      <c r="F10">
        <v>2900</v>
      </c>
    </row>
    <row r="11" spans="1:6" x14ac:dyDescent="0.25">
      <c r="A11" t="s">
        <v>51</v>
      </c>
      <c r="B11">
        <v>4110</v>
      </c>
      <c r="C11">
        <v>3936</v>
      </c>
      <c r="D11">
        <v>3718</v>
      </c>
      <c r="E11">
        <v>3824</v>
      </c>
      <c r="F11">
        <v>3371</v>
      </c>
    </row>
    <row r="12" spans="1:6" x14ac:dyDescent="0.25">
      <c r="A12" t="s">
        <v>52</v>
      </c>
      <c r="B12">
        <v>77099</v>
      </c>
      <c r="C12">
        <v>69831</v>
      </c>
      <c r="D12">
        <v>68994</v>
      </c>
      <c r="E12">
        <v>64166</v>
      </c>
      <c r="F12">
        <v>59268</v>
      </c>
    </row>
    <row r="14" spans="1:6" x14ac:dyDescent="0.25">
      <c r="A14" t="s">
        <v>53</v>
      </c>
      <c r="B14">
        <v>20000</v>
      </c>
      <c r="C14">
        <v>19421</v>
      </c>
      <c r="D14">
        <v>17483</v>
      </c>
      <c r="E14">
        <v>16000</v>
      </c>
      <c r="F14">
        <v>15000</v>
      </c>
    </row>
    <row r="15" spans="1:6" x14ac:dyDescent="0.25">
      <c r="A15" t="s">
        <v>54</v>
      </c>
      <c r="B15">
        <v>5000</v>
      </c>
      <c r="C15">
        <v>4794</v>
      </c>
      <c r="D15">
        <v>4278</v>
      </c>
      <c r="E15">
        <v>4100</v>
      </c>
      <c r="F15">
        <v>3900</v>
      </c>
    </row>
    <row r="16" spans="1:6" x14ac:dyDescent="0.25">
      <c r="A16" t="s">
        <v>55</v>
      </c>
      <c r="B16">
        <v>5200</v>
      </c>
      <c r="C16">
        <v>4936</v>
      </c>
      <c r="D16">
        <v>4487</v>
      </c>
      <c r="E16">
        <v>4200</v>
      </c>
      <c r="F16">
        <v>3800</v>
      </c>
    </row>
    <row r="17" spans="1:6" x14ac:dyDescent="0.25">
      <c r="A17" t="s">
        <v>56</v>
      </c>
      <c r="B17">
        <v>100</v>
      </c>
      <c r="C17">
        <v>103</v>
      </c>
      <c r="D17">
        <v>1081</v>
      </c>
      <c r="E17">
        <v>500</v>
      </c>
      <c r="F17">
        <v>500</v>
      </c>
    </row>
    <row r="18" spans="1:6" x14ac:dyDescent="0.25">
      <c r="A18" t="s">
        <v>57</v>
      </c>
      <c r="B18">
        <v>6808</v>
      </c>
      <c r="C18">
        <v>6210</v>
      </c>
      <c r="D18">
        <v>6254</v>
      </c>
      <c r="E18">
        <v>6198</v>
      </c>
      <c r="F18">
        <v>6241</v>
      </c>
    </row>
    <row r="19" spans="1:6" x14ac:dyDescent="0.25">
      <c r="A19" t="s">
        <v>58</v>
      </c>
      <c r="B19">
        <v>37108</v>
      </c>
      <c r="C19">
        <v>35464</v>
      </c>
      <c r="D19">
        <v>33583</v>
      </c>
      <c r="E19">
        <v>31998</v>
      </c>
      <c r="F19">
        <v>29441</v>
      </c>
    </row>
    <row r="21" spans="1:6" x14ac:dyDescent="0.25">
      <c r="A21" t="s">
        <v>59</v>
      </c>
      <c r="B21">
        <v>5713</v>
      </c>
      <c r="C21">
        <v>5794</v>
      </c>
      <c r="D21">
        <v>5377</v>
      </c>
      <c r="E21">
        <v>6484</v>
      </c>
      <c r="F21">
        <v>6692</v>
      </c>
    </row>
    <row r="22" spans="1:6" x14ac:dyDescent="0.25">
      <c r="A22" t="s">
        <v>60</v>
      </c>
      <c r="B22">
        <v>2500</v>
      </c>
      <c r="C22">
        <v>2375</v>
      </c>
      <c r="D22">
        <v>2426</v>
      </c>
      <c r="E22">
        <v>2500</v>
      </c>
      <c r="F22">
        <v>2600</v>
      </c>
    </row>
    <row r="23" spans="1:6" x14ac:dyDescent="0.25">
      <c r="A23" t="s">
        <v>61</v>
      </c>
      <c r="B23">
        <v>2614</v>
      </c>
      <c r="C23">
        <v>2576</v>
      </c>
      <c r="D23">
        <v>2550</v>
      </c>
      <c r="E23">
        <v>2537</v>
      </c>
      <c r="F23">
        <v>2457</v>
      </c>
    </row>
    <row r="24" spans="1:6" x14ac:dyDescent="0.25">
      <c r="A24" t="s">
        <v>62</v>
      </c>
      <c r="B24">
        <v>47935</v>
      </c>
      <c r="C24">
        <v>46209</v>
      </c>
      <c r="D24">
        <v>43936</v>
      </c>
      <c r="E24">
        <v>43519</v>
      </c>
      <c r="F24">
        <v>41190</v>
      </c>
    </row>
    <row r="26" spans="1:6" x14ac:dyDescent="0.25">
      <c r="A26" t="s">
        <v>63</v>
      </c>
      <c r="B26">
        <v>29164</v>
      </c>
      <c r="C26">
        <v>23622</v>
      </c>
      <c r="D26">
        <v>25058</v>
      </c>
      <c r="E26">
        <v>20647</v>
      </c>
      <c r="F26">
        <v>18078</v>
      </c>
    </row>
    <row r="27" spans="1:6" x14ac:dyDescent="0.25">
      <c r="A27" t="s">
        <v>64</v>
      </c>
      <c r="B27">
        <v>77099</v>
      </c>
      <c r="C27">
        <v>69831</v>
      </c>
      <c r="D27">
        <v>68994</v>
      </c>
      <c r="E27">
        <v>64166</v>
      </c>
      <c r="F27">
        <v>59268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B806-3A45-4065-A540-11D7D2DA4688}">
  <dimension ref="A1:F26"/>
  <sheetViews>
    <sheetView workbookViewId="0">
      <selection activeCell="C32" sqref="C32"/>
    </sheetView>
  </sheetViews>
  <sheetFormatPr defaultRowHeight="15" x14ac:dyDescent="0.25"/>
  <cols>
    <col min="1" max="1" width="42.28515625" customWidth="1"/>
  </cols>
  <sheetData>
    <row r="1" spans="1:6" x14ac:dyDescent="0.25">
      <c r="A1" s="13" t="s">
        <v>32</v>
      </c>
      <c r="B1">
        <v>2025</v>
      </c>
      <c r="C1">
        <v>2024</v>
      </c>
      <c r="D1">
        <v>2023</v>
      </c>
      <c r="E1">
        <v>2022</v>
      </c>
      <c r="F1">
        <v>2021</v>
      </c>
    </row>
    <row r="2" spans="1:6" x14ac:dyDescent="0.25">
      <c r="A2" t="s">
        <v>23</v>
      </c>
      <c r="B2">
        <v>8099</v>
      </c>
      <c r="C2">
        <v>7367</v>
      </c>
      <c r="D2">
        <v>6292</v>
      </c>
      <c r="E2">
        <v>5915</v>
      </c>
      <c r="F2">
        <v>5079</v>
      </c>
    </row>
    <row r="4" spans="1:6" x14ac:dyDescent="0.25">
      <c r="A4" t="s">
        <v>10</v>
      </c>
      <c r="B4">
        <v>2426</v>
      </c>
      <c r="C4">
        <v>2237</v>
      </c>
      <c r="D4">
        <v>2077</v>
      </c>
      <c r="E4">
        <v>1900</v>
      </c>
      <c r="F4">
        <v>1781</v>
      </c>
    </row>
    <row r="5" spans="1:6" x14ac:dyDescent="0.25">
      <c r="A5" t="s">
        <v>24</v>
      </c>
      <c r="B5">
        <v>860</v>
      </c>
      <c r="C5">
        <v>818</v>
      </c>
      <c r="D5">
        <v>774</v>
      </c>
      <c r="E5">
        <v>724</v>
      </c>
      <c r="F5">
        <v>665</v>
      </c>
    </row>
    <row r="6" spans="1:6" x14ac:dyDescent="0.25">
      <c r="A6" t="s">
        <v>65</v>
      </c>
      <c r="B6">
        <v>303</v>
      </c>
      <c r="C6">
        <v>315</v>
      </c>
      <c r="D6">
        <v>412</v>
      </c>
      <c r="E6">
        <v>377</v>
      </c>
      <c r="F6">
        <v>350</v>
      </c>
    </row>
    <row r="7" spans="1:6" x14ac:dyDescent="0.25">
      <c r="A7" t="s">
        <v>66</v>
      </c>
      <c r="B7">
        <v>186</v>
      </c>
      <c r="C7">
        <v>306</v>
      </c>
      <c r="D7">
        <v>-495</v>
      </c>
      <c r="E7">
        <v>416</v>
      </c>
      <c r="F7">
        <v>430</v>
      </c>
    </row>
    <row r="9" spans="1:6" x14ac:dyDescent="0.25">
      <c r="A9" t="s">
        <v>67</v>
      </c>
      <c r="B9">
        <v>559</v>
      </c>
      <c r="C9">
        <v>-2068</v>
      </c>
      <c r="D9">
        <v>1228</v>
      </c>
      <c r="E9">
        <v>-4003</v>
      </c>
      <c r="F9">
        <v>-1892</v>
      </c>
    </row>
    <row r="10" spans="1:6" x14ac:dyDescent="0.25">
      <c r="A10" t="s">
        <v>68</v>
      </c>
      <c r="B10">
        <v>404</v>
      </c>
      <c r="C10">
        <v>1938</v>
      </c>
      <c r="D10">
        <v>-382</v>
      </c>
      <c r="E10">
        <v>1891</v>
      </c>
      <c r="F10">
        <v>1838</v>
      </c>
    </row>
    <row r="11" spans="1:6" x14ac:dyDescent="0.25">
      <c r="A11" t="s">
        <v>69</v>
      </c>
      <c r="B11">
        <v>801</v>
      </c>
      <c r="C11">
        <v>741</v>
      </c>
      <c r="D11">
        <v>172</v>
      </c>
      <c r="E11">
        <v>549</v>
      </c>
      <c r="F11">
        <v>1057</v>
      </c>
    </row>
    <row r="12" spans="1:6" x14ac:dyDescent="0.25">
      <c r="A12" t="s">
        <v>70</v>
      </c>
      <c r="B12">
        <v>13335</v>
      </c>
      <c r="C12">
        <v>11339</v>
      </c>
      <c r="D12">
        <v>11068</v>
      </c>
      <c r="E12">
        <v>7392</v>
      </c>
      <c r="F12">
        <v>8958</v>
      </c>
    </row>
    <row r="14" spans="1:6" x14ac:dyDescent="0.25">
      <c r="A14" t="s">
        <v>71</v>
      </c>
      <c r="B14">
        <v>-5498</v>
      </c>
      <c r="C14">
        <v>-4710</v>
      </c>
      <c r="D14">
        <v>-4323</v>
      </c>
      <c r="E14">
        <v>-3891</v>
      </c>
      <c r="F14">
        <v>-3588</v>
      </c>
    </row>
    <row r="15" spans="1:6" x14ac:dyDescent="0.25">
      <c r="A15" t="s">
        <v>72</v>
      </c>
      <c r="B15">
        <v>113</v>
      </c>
      <c r="C15">
        <v>320</v>
      </c>
      <c r="D15">
        <v>-685</v>
      </c>
      <c r="E15">
        <v>24</v>
      </c>
      <c r="F15">
        <v>115</v>
      </c>
    </row>
    <row r="16" spans="1:6" x14ac:dyDescent="0.25">
      <c r="A16" t="s">
        <v>25</v>
      </c>
      <c r="B16">
        <v>74</v>
      </c>
      <c r="C16">
        <v>-19</v>
      </c>
      <c r="D16">
        <v>36</v>
      </c>
      <c r="E16">
        <v>-48</v>
      </c>
      <c r="F16">
        <v>-62</v>
      </c>
    </row>
    <row r="17" spans="1:6" x14ac:dyDescent="0.25">
      <c r="A17" t="s">
        <v>73</v>
      </c>
      <c r="B17">
        <v>-5311</v>
      </c>
      <c r="C17">
        <v>-4409</v>
      </c>
      <c r="D17">
        <v>-4972</v>
      </c>
      <c r="E17">
        <v>-3915</v>
      </c>
      <c r="F17">
        <v>-3535</v>
      </c>
    </row>
    <row r="19" spans="1:6" x14ac:dyDescent="0.25">
      <c r="A19" t="s">
        <v>26</v>
      </c>
      <c r="B19">
        <v>-903</v>
      </c>
      <c r="C19">
        <v>-700</v>
      </c>
      <c r="D19">
        <v>-676</v>
      </c>
      <c r="E19">
        <v>-439</v>
      </c>
      <c r="F19">
        <v>-496</v>
      </c>
    </row>
    <row r="20" spans="1:6" x14ac:dyDescent="0.25">
      <c r="A20" t="s">
        <v>74</v>
      </c>
      <c r="B20">
        <v>-2183</v>
      </c>
      <c r="C20">
        <v>-9041</v>
      </c>
      <c r="D20">
        <v>-1251</v>
      </c>
      <c r="E20">
        <v>-1706</v>
      </c>
      <c r="F20">
        <v>-5748</v>
      </c>
    </row>
    <row r="21" spans="1:6" x14ac:dyDescent="0.25">
      <c r="A21" t="s">
        <v>75</v>
      </c>
      <c r="B21">
        <v>-296</v>
      </c>
      <c r="C21">
        <v>-708</v>
      </c>
      <c r="D21">
        <v>-384</v>
      </c>
      <c r="E21">
        <v>-933</v>
      </c>
      <c r="F21">
        <v>-120</v>
      </c>
    </row>
    <row r="22" spans="1:6" x14ac:dyDescent="0.25">
      <c r="A22" t="s">
        <v>76</v>
      </c>
      <c r="B22">
        <v>-393</v>
      </c>
      <c r="C22">
        <v>-315</v>
      </c>
      <c r="D22">
        <v>-303</v>
      </c>
      <c r="E22">
        <v>-1205</v>
      </c>
      <c r="F22">
        <v>-124</v>
      </c>
    </row>
    <row r="23" spans="1:6" x14ac:dyDescent="0.25">
      <c r="A23" t="s">
        <v>77</v>
      </c>
      <c r="B23">
        <v>-3775</v>
      </c>
      <c r="C23">
        <v>-10764</v>
      </c>
      <c r="D23">
        <v>-2614</v>
      </c>
      <c r="E23">
        <v>-4283</v>
      </c>
      <c r="F23">
        <v>-6488</v>
      </c>
    </row>
    <row r="25" spans="1:6" x14ac:dyDescent="0.25">
      <c r="A25" t="s">
        <v>27</v>
      </c>
      <c r="B25">
        <v>6</v>
      </c>
      <c r="C25">
        <v>40</v>
      </c>
      <c r="D25">
        <v>15</v>
      </c>
      <c r="E25">
        <v>-249</v>
      </c>
      <c r="F25">
        <v>46</v>
      </c>
    </row>
    <row r="26" spans="1:6" x14ac:dyDescent="0.25">
      <c r="A26" t="s">
        <v>78</v>
      </c>
      <c r="B26">
        <v>4255</v>
      </c>
      <c r="C26">
        <v>-3794</v>
      </c>
      <c r="D26">
        <v>3497</v>
      </c>
      <c r="E26">
        <v>-1055</v>
      </c>
      <c r="F26">
        <v>-1019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c659d5dd-5f52-4ff9-939b-f86a546cbb0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6BC373DFE74F74F9E7F53832A608703" ma:contentTypeVersion="11" ma:contentTypeDescription="Create a new document." ma:contentTypeScope="" ma:versionID="a5391c4b12c4493e1ad0e84bdfe8840c">
  <xsd:schema xmlns:xsd="http://www.w3.org/2001/XMLSchema" xmlns:xs="http://www.w3.org/2001/XMLSchema" xmlns:p="http://schemas.microsoft.com/office/2006/metadata/properties" xmlns:ns3="c659d5dd-5f52-4ff9-939b-f86a546cbb09" targetNamespace="http://schemas.microsoft.com/office/2006/metadata/properties" ma:root="true" ma:fieldsID="63c0b459edf168ca4e39ed9c1ec59631" ns3:_="">
    <xsd:import namespace="c659d5dd-5f52-4ff9-939b-f86a546cbb0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9d5dd-5f52-4ff9-939b-f86a546cbb0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2B94C9-5701-4615-9ED4-3E26EB40A4D9}">
  <ds:schemaRefs>
    <ds:schemaRef ds:uri="http://schemas.microsoft.com/sharepoint/v3/contenttype/forms"/>
  </ds:schemaRefs>
</ds:datastoreItem>
</file>

<file path=customXml/itemProps2.xml><?xml version="1.0" encoding="utf-8"?>
<ds:datastoreItem xmlns:ds="http://schemas.openxmlformats.org/officeDocument/2006/customXml" ds:itemID="{ED6645A5-2B55-4A6A-B488-969129A98448}">
  <ds:schemaRefs>
    <ds:schemaRef ds:uri="http://schemas.microsoft.com/office/infopath/2007/PartnerControls"/>
    <ds:schemaRef ds:uri="http://purl.org/dc/dcmitype/"/>
    <ds:schemaRef ds:uri="http://schemas.openxmlformats.org/package/2006/metadata/core-properties"/>
    <ds:schemaRef ds:uri="http://schemas.microsoft.com/office/2006/documentManagement/types"/>
    <ds:schemaRef ds:uri="http://www.w3.org/XML/1998/namespace"/>
    <ds:schemaRef ds:uri="http://purl.org/dc/elements/1.1/"/>
    <ds:schemaRef ds:uri="http://purl.org/dc/terms/"/>
    <ds:schemaRef ds:uri="c659d5dd-5f52-4ff9-939b-f86a546cbb09"/>
    <ds:schemaRef ds:uri="http://schemas.microsoft.com/office/2006/metadata/properties"/>
  </ds:schemaRefs>
</ds:datastoreItem>
</file>

<file path=customXml/itemProps3.xml><?xml version="1.0" encoding="utf-8"?>
<ds:datastoreItem xmlns:ds="http://schemas.openxmlformats.org/officeDocument/2006/customXml" ds:itemID="{EB89ACCA-A2FE-418E-B315-B0484EFC6C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59d5dd-5f52-4ff9-939b-f86a546cbb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DCF Fill in </vt:lpstr>
      <vt:lpstr>1)FCF</vt:lpstr>
      <vt:lpstr>2)WACC</vt:lpstr>
      <vt:lpstr>Data sources</vt:lpstr>
      <vt:lpstr>IS</vt:lpstr>
      <vt:lpstr>BS</vt:lpstr>
      <vt:lpstr>CFS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Asad Mahmood</dc:creator>
  <cp:lastModifiedBy>asad mahmood</cp:lastModifiedBy>
  <dcterms:created xsi:type="dcterms:W3CDTF">2026-05-06T18:06:02Z</dcterms:created>
  <dcterms:modified xsi:type="dcterms:W3CDTF">2026-06-04T11:41:34Z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0x01010006BC373DFE74F74F9E7F53832A608703</vt:lpwstr>
  </property>
</Properties>
</file>