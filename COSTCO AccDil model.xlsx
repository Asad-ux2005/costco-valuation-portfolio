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Assumptions" sheetId="2" r:id="rId5"/>
    <sheet state="visible" name="Sources &amp; Uses" sheetId="3" r:id="rId6"/>
    <sheet state="visible" name="Acc-Dil" sheetId="4" r:id="rId7"/>
    <sheet state="visible" name="Sensitivity" sheetId="5" r:id="rId8"/>
  </sheets>
  <definedNames/>
  <calcPr/>
  <extLst>
    <ext uri="GoogleSheetsCustomDataVersion2">
      <go:sheetsCustomData xmlns:go="http://customooxmlschemas.google.com/" r:id="rId9" roundtripDataChecksum="x5PaGp9r8hMBSHq72PiPumrSAG35YO4qLshNfJYfnpo="/>
    </ext>
  </extLst>
</workbook>
</file>

<file path=xl/sharedStrings.xml><?xml version="1.0" encoding="utf-8"?>
<sst xmlns="http://schemas.openxmlformats.org/spreadsheetml/2006/main" count="185" uniqueCount="163">
  <si>
    <t>COSTCO WHOLESALE CORPORATION</t>
  </si>
  <si>
    <t>Acquisition of BJ's Wholesale Club Holdings, Inc.</t>
  </si>
  <si>
    <t>Accretion / Dilution Analysis</t>
  </si>
  <si>
    <t xml:space="preserve"> </t>
  </si>
  <si>
    <t>As of May 30, 2026  |  All figures in USD millions unless noted</t>
  </si>
  <si>
    <t>CONFIDENTIAL  —  FOR DISCUSSION PURPOSES ONLY</t>
  </si>
  <si>
    <t>TAB</t>
  </si>
  <si>
    <t>DESCRIPTION</t>
  </si>
  <si>
    <t>SHEET</t>
  </si>
  <si>
    <t>1</t>
  </si>
  <si>
    <t>Transaction Assumptions &amp; Sources / Uses</t>
  </si>
  <si>
    <t>Assumptions</t>
  </si>
  <si>
    <t>2</t>
  </si>
  <si>
    <t>Acc/Dil</t>
  </si>
  <si>
    <t>3</t>
  </si>
  <si>
    <t>Sensitivity Analysis</t>
  </si>
  <si>
    <t>Sensitivity</t>
  </si>
  <si>
    <t>Sources: Company filings (SEC EDGAR), Bloomberg, FactSet consensus as of May 30, 2026. This model is for educational/analytical purposes only.</t>
  </si>
  <si>
    <t>COSTCO / BJ'S WHOLESALE CLUB  —  TRANSACTION ASSUMPTIONS</t>
  </si>
  <si>
    <t>Value</t>
  </si>
  <si>
    <t>Note / Source</t>
  </si>
  <si>
    <t>ACQUIRER: COSTCO WHOLESALE (COST)</t>
  </si>
  <si>
    <t>Share price (current)</t>
  </si>
  <si>
    <t>Bloomberg, 5/29/2026</t>
  </si>
  <si>
    <t>Diluted shares outstanding (mm)</t>
  </si>
  <si>
    <t>Google Finance, Q3 FY2026</t>
  </si>
  <si>
    <t>FY2026E EPS</t>
  </si>
  <si>
    <t>Consensus, FactSet 5/2026</t>
  </si>
  <si>
    <t>FY2026E Net income ($mm)</t>
  </si>
  <si>
    <t>Implied: Shares x EPS</t>
  </si>
  <si>
    <t>FY2026E Pre-tax income ($mm)</t>
  </si>
  <si>
    <t>Implied at ~20% eff. tax rate</t>
  </si>
  <si>
    <t>Effective tax rate</t>
  </si>
  <si>
    <t>COST 10-K FY2025</t>
  </si>
  <si>
    <t>Market cap ($mm)</t>
  </si>
  <si>
    <t>Implied: Price x Diluted shares</t>
  </si>
  <si>
    <t>TRANSACTION STRUCTURE</t>
  </si>
  <si>
    <t>TARGET: BJ'S WHOLESALE CLUB (BJ)</t>
  </si>
  <si>
    <t>% Stock consideration</t>
  </si>
  <si>
    <t>Assumption</t>
  </si>
  <si>
    <t>TradingView, 5/29/2026</t>
  </si>
  <si>
    <t>% Debt consideration</t>
  </si>
  <si>
    <t>% Offer premium</t>
  </si>
  <si>
    <t>25-35% retail M&amp;A avg</t>
  </si>
  <si>
    <t>% Cash consideration</t>
  </si>
  <si>
    <t>Residual: 1 - Stock% - Debt%</t>
  </si>
  <si>
    <t>Offer price per share</t>
  </si>
  <si>
    <t>Price x (1+Premium)</t>
  </si>
  <si>
    <t>Debt financing term (yrs)</t>
  </si>
  <si>
    <t>BJ Q1 FY2026 10-Q</t>
  </si>
  <si>
    <t>Interest rate on new debt</t>
  </si>
  <si>
    <t>IG rate, BBB+/Baa1</t>
  </si>
  <si>
    <t>Equity purchase price ($mm)</t>
  </si>
  <si>
    <t>Offer price x Shares / 1000</t>
  </si>
  <si>
    <t>Financing fees (% debt)</t>
  </si>
  <si>
    <t>Market standard</t>
  </si>
  <si>
    <t>FY2026E EPS (standalone)</t>
  </si>
  <si>
    <t>FactSet consensus</t>
  </si>
  <si>
    <t>Transaction fees ($mm)</t>
  </si>
  <si>
    <t>Estimated advisory/legal</t>
  </si>
  <si>
    <t>BJ FY2026 annual</t>
  </si>
  <si>
    <t>BJ FY2026 implied</t>
  </si>
  <si>
    <t>BJ 10-K FY2026</t>
  </si>
  <si>
    <t>Total assets ($mm)</t>
  </si>
  <si>
    <t>Investing.com Q1 FY2026</t>
  </si>
  <si>
    <t>Book value of equity ($mm)</t>
  </si>
  <si>
    <t>Simply Wall St</t>
  </si>
  <si>
    <t>Long-term debt ($mm)</t>
  </si>
  <si>
    <t>Annual synergies ($mm)</t>
  </si>
  <si>
    <t>Mgmt/scale estimate</t>
  </si>
  <si>
    <t>ASSET WRITE-UP (PP&amp;E / INTANGIBLES)</t>
  </si>
  <si>
    <t>Book value of PP&amp;E / intangibles ($mm)</t>
  </si>
  <si>
    <t>BJ ~33% of total assets</t>
  </si>
  <si>
    <t>Fair market value of assets ($mm)</t>
  </si>
  <si>
    <t>Est. 28% step-up</t>
  </si>
  <si>
    <t>Asset write-up ($mm)</t>
  </si>
  <si>
    <t>FMV minus Book value</t>
  </si>
  <si>
    <t>Useful life (years)</t>
  </si>
  <si>
    <t>BJ avg useful life</t>
  </si>
  <si>
    <t>Incremental D&amp;A expense ($mm)</t>
  </si>
  <si>
    <t>Write-up / Useful life</t>
  </si>
  <si>
    <t>COSTCO / BJ'S  —  SOURCES &amp; USES OF FUNDS  ($mm)</t>
  </si>
  <si>
    <t>SOURCES</t>
  </si>
  <si>
    <t>Amount ($mm)</t>
  </si>
  <si>
    <t>% of Total</t>
  </si>
  <si>
    <t>USES</t>
  </si>
  <si>
    <t>Total transaction value ($mm)</t>
  </si>
  <si>
    <t>Note: Equity purch. price</t>
  </si>
  <si>
    <t>% Stock (of total consideration)</t>
  </si>
  <si>
    <t>% Debt (of total consideration)</t>
  </si>
  <si>
    <t>% Cash (of total consideration)</t>
  </si>
  <si>
    <t>Acquirer stock issued</t>
  </si>
  <si>
    <t>Equity purchase price</t>
  </si>
  <si>
    <t>New term debt</t>
  </si>
  <si>
    <t>Financing fees (1.5%)</t>
  </si>
  <si>
    <t>Cash (balancing item)</t>
  </si>
  <si>
    <t>Transaction advisory fees</t>
  </si>
  <si>
    <t>TOTAL SOURCES</t>
  </si>
  <si>
    <t>TOTAL USES</t>
  </si>
  <si>
    <t>Balance check (Sources - Uses)</t>
  </si>
  <si>
    <t>Should be zero</t>
  </si>
  <si>
    <t>New shares issued (mm)</t>
  </si>
  <si>
    <t>At $950 COST share price</t>
  </si>
  <si>
    <t>COSTCO / BJ'S  —  PRO FORMA ACCRETION / DILUTION ANALYSIS  ($mm except per share)</t>
  </si>
  <si>
    <t>COST Standalone</t>
  </si>
  <si>
    <t>BJ Standalone</t>
  </si>
  <si>
    <t>Pro Forma Combined</t>
  </si>
  <si>
    <t>INCOME STATEMENT BRIDGE</t>
  </si>
  <si>
    <t>Pre-tax income (FY2026E, standalone)</t>
  </si>
  <si>
    <t>PRO FORMA ADJUSTMENTS</t>
  </si>
  <si>
    <t>(Less): Interest expense on new term debt  [$mm]</t>
  </si>
  <si>
    <t>14,196 × 30% × 5.5%</t>
  </si>
  <si>
    <t>(Less): Foregone interest income on cash used</t>
  </si>
  <si>
    <t>14,196 × 20% × 3.5% (risk-free approx.)</t>
  </si>
  <si>
    <t>(Less): Incremental D&amp;A on asset write-up</t>
  </si>
  <si>
    <t>(3200-2500)/20 yrs = $35mm</t>
  </si>
  <si>
    <t>(Less): Transaction fees (one-time, Year 1 only)</t>
  </si>
  <si>
    <t>Est. advisory / legal</t>
  </si>
  <si>
    <t>(Less): Financing fees amortization</t>
  </si>
  <si>
    <t>1.5% × debt / 7-yr term</t>
  </si>
  <si>
    <t>(+): Run-rate synergies (revenue + cost)</t>
  </si>
  <si>
    <t>Mgmt estimate; membership scale + buying power</t>
  </si>
  <si>
    <t>Pro forma pre-tax income (adjusted)</t>
  </si>
  <si>
    <t>(Less): Pro forma income tax provision</t>
  </si>
  <si>
    <t>Blended 20.5% eff. tax rate</t>
  </si>
  <si>
    <t>Pro forma net income</t>
  </si>
  <si>
    <t>PER SHARE ANALYSIS</t>
  </si>
  <si>
    <t>Diluted shares outstanding (mm) — COST standalone</t>
  </si>
  <si>
    <t>New COST shares issued to BJ shareholders (mm)</t>
  </si>
  <si>
    <t>Pro forma diluted shares outstanding (mm)</t>
  </si>
  <si>
    <t>COST standalone EPS (FY2026E)</t>
  </si>
  <si>
    <t>BJ standalone EPS (FY2026E)</t>
  </si>
  <si>
    <t>Pro forma EPS (FY2026E)</t>
  </si>
  <si>
    <t>Accretion / (Dilution) per share ($)</t>
  </si>
  <si>
    <t>Accretion / (Dilution) %</t>
  </si>
  <si>
    <t>TRANSACTION METRICS &amp; VALUATION</t>
  </si>
  <si>
    <t>Offer premium paid</t>
  </si>
  <si>
    <t>EV/EBITDA (FY2026E) — BJ standalone</t>
  </si>
  <si>
    <t>P/E implied (on BJ standalone EPS)</t>
  </si>
  <si>
    <t>Goodwill / excess purchase price ($mm)</t>
  </si>
  <si>
    <t>Notes: (1) Synergies phased in at 50% / 100% in Years 1-2. (2) D&amp;A on write-up excludes inventory step-up (COGS impact). (3) Transaction fees expensed in Year 1 only; recurring analysis excludes. (4) Tax rate blended: 20.0% COST + 23.0% BJ weighted by pre-tax income.</t>
  </si>
  <si>
    <t>SENSITIVITY ANALYSIS — ACCRETION / (DILUTION) % vs. OFFER PREMIUM &amp; SYNERGIES</t>
  </si>
  <si>
    <t>TABLE 1: Acc/(Dil) %  |  Rows = Offer Premium  /  Cols = % Stock</t>
  </si>
  <si>
    <t>Prem↓  /  %Stock→</t>
  </si>
  <si>
    <t>30% Stock</t>
  </si>
  <si>
    <t>40% Stock</t>
  </si>
  <si>
    <t>50% Stock</t>
  </si>
  <si>
    <t>60% Stock</t>
  </si>
  <si>
    <t>70% Stock</t>
  </si>
  <si>
    <t>15% premium</t>
  </si>
  <si>
    <t>20% premium</t>
  </si>
  <si>
    <t>25% premium</t>
  </si>
  <si>
    <t>30% premium</t>
  </si>
  <si>
    <t>35% premium</t>
  </si>
  <si>
    <t>40% premium</t>
  </si>
  <si>
    <t>TABLE 2: Acc/(Dil) %  |  Rows = Offer Premium  /  Cols = Annual Synergies ($mm)</t>
  </si>
  <si>
    <t>Prem↓  /  Synergies→</t>
  </si>
  <si>
    <t>$0mm</t>
  </si>
  <si>
    <t>$100mm</t>
  </si>
  <si>
    <t>$200mm</t>
  </si>
  <si>
    <t>$300mm</t>
  </si>
  <si>
    <t>$400mm</t>
  </si>
  <si>
    <t>Assumptions: 50%/30%/20% stock/debt/cash consideration (Table 1 varies stock%), 5.5% interest on debt, 3.5% foregone cash yield, $700mm write-up over 20 yrs, 1.5% financing fee on debt amortized over 7 years, $75mm transaction fees.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</si>
</sst>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;\(#,##0.0\);\-"/>
    <numFmt numFmtId="165" formatCode="\$#,##0.00;&quot;($&quot;#,##0.00\);\-"/>
    <numFmt numFmtId="166" formatCode="0.0%;\(0.0%\);\-"/>
    <numFmt numFmtId="167" formatCode="0.0"/>
    <numFmt numFmtId="168" formatCode="0.0\x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rgb="FFFFFFFF"/>
      <name val="Calibri"/>
    </font>
    <font/>
    <font>
      <sz val="14.0"/>
      <color rgb="FFC9A84C"/>
      <name val="Calibri"/>
    </font>
    <font>
      <sz val="11.0"/>
      <color rgb="FFD6DCE4"/>
      <name val="Calibri"/>
    </font>
    <font>
      <sz val="9.0"/>
      <color rgb="FFD6DCE4"/>
      <name val="Calibri"/>
    </font>
    <font>
      <b/>
      <sz val="9.0"/>
      <color rgb="FFC9A84C"/>
      <name val="Calibri"/>
    </font>
    <font>
      <b/>
      <sz val="9.0"/>
      <color rgb="FF1B3A5C"/>
      <name val="Calibri"/>
    </font>
    <font>
      <sz val="9.0"/>
      <color rgb="FF000000"/>
      <name val="Calibri"/>
    </font>
    <font>
      <sz val="9.0"/>
      <color rgb="FF2E5F8A"/>
      <name val="Calibri"/>
    </font>
    <font>
      <i/>
      <sz val="8.0"/>
      <color rgb="FF888888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sz val="9.0"/>
      <color rgb="FF0000FF"/>
      <name val="Calibri"/>
    </font>
    <font>
      <sz val="8.0"/>
      <color rgb="FF888888"/>
      <name val="Calibri"/>
    </font>
    <font>
      <b/>
      <sz val="9.0"/>
      <color rgb="FF000000"/>
      <name val="Calibri"/>
    </font>
    <font>
      <b/>
      <sz val="9.0"/>
      <color rgb="FF0000FF"/>
      <name val="Calibri"/>
    </font>
    <font>
      <b/>
      <sz val="10.0"/>
      <color rgb="FF1B3A5C"/>
      <name val="Calibri"/>
    </font>
    <font>
      <sz val="9.0"/>
      <color rgb="FF27622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B3A5C"/>
        <bgColor rgb="FF1B3A5C"/>
      </patternFill>
    </fill>
    <fill>
      <patternFill patternType="solid">
        <fgColor rgb="FF2E5F8A"/>
        <bgColor rgb="FF2E5F8A"/>
      </patternFill>
    </fill>
    <fill>
      <patternFill patternType="solid">
        <fgColor rgb="FFE8EDF4"/>
        <bgColor rgb="FFE8EDF4"/>
      </patternFill>
    </fill>
    <fill>
      <patternFill patternType="solid">
        <fgColor rgb="FFF2F4F7"/>
        <bgColor rgb="FFF2F4F7"/>
      </patternFill>
    </fill>
    <fill>
      <patternFill patternType="solid">
        <fgColor rgb="FFC6EFCE"/>
        <bgColor rgb="FFC6EFCE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bottom style="thin">
        <color rgb="FFA0A0A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left" shrinkToFit="0" vertical="center" wrapText="0"/>
    </xf>
    <xf borderId="2" fillId="2" fontId="5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readingOrder="0" shrinkToFit="0" vertical="bottom" wrapText="0"/>
    </xf>
    <xf borderId="2" fillId="2" fontId="6" numFmtId="0" xfId="0" applyAlignment="1" applyBorder="1" applyFont="1">
      <alignment horizontal="left" shrinkToFit="0" vertical="center" wrapText="0"/>
    </xf>
    <xf borderId="2" fillId="2" fontId="7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left" shrinkToFit="0" vertical="center" wrapText="1"/>
    </xf>
    <xf borderId="2" fillId="2" fontId="12" numFmtId="0" xfId="0" applyAlignment="1" applyBorder="1" applyFont="1">
      <alignment horizontal="left" shrinkToFit="0" vertical="center" wrapText="0"/>
    </xf>
    <xf borderId="1" fillId="3" fontId="13" numFmtId="0" xfId="0" applyAlignment="1" applyBorder="1" applyFill="1" applyFont="1">
      <alignment horizontal="center" shrinkToFit="0" vertical="center" wrapText="0"/>
    </xf>
    <xf borderId="1" fillId="4" fontId="13" numFmtId="0" xfId="0" applyAlignment="1" applyBorder="1" applyFill="1" applyFont="1">
      <alignment horizontal="left" shrinkToFit="0" vertical="center" wrapText="0"/>
    </xf>
    <xf borderId="1" fillId="4" fontId="1" numFmtId="0" xfId="0" applyAlignment="1" applyBorder="1" applyFont="1">
      <alignment shrinkToFit="0" vertical="bottom" wrapText="0"/>
    </xf>
    <xf borderId="0" fillId="0" fontId="14" numFmtId="164" xfId="0" applyAlignment="1" applyFont="1" applyNumberFormat="1">
      <alignment horizontal="right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14" numFmtId="165" xfId="0" applyAlignment="1" applyFont="1" applyNumberFormat="1">
      <alignment horizontal="right" shrinkToFit="0" vertical="center" wrapText="0"/>
    </xf>
    <xf borderId="0" fillId="0" fontId="14" numFmtId="166" xfId="0" applyAlignment="1" applyFont="1" applyNumberFormat="1">
      <alignment horizontal="right" shrinkToFit="0" vertical="center" wrapText="0"/>
    </xf>
    <xf borderId="0" fillId="0" fontId="9" numFmtId="164" xfId="0" applyAlignment="1" applyFont="1" applyNumberFormat="1">
      <alignment horizontal="right" shrinkToFit="0" vertical="center" wrapText="0"/>
    </xf>
    <xf borderId="0" fillId="0" fontId="9" numFmtId="166" xfId="0" applyAlignment="1" applyFont="1" applyNumberFormat="1">
      <alignment horizontal="right" shrinkToFit="0" vertical="center" wrapText="0"/>
    </xf>
    <xf borderId="0" fillId="0" fontId="9" numFmtId="165" xfId="0" applyAlignment="1" applyFont="1" applyNumberFormat="1">
      <alignment horizontal="right" shrinkToFit="0" vertical="center" wrapText="0"/>
    </xf>
    <xf borderId="0" fillId="0" fontId="14" numFmtId="167" xfId="0" applyAlignment="1" applyFont="1" applyNumberFormat="1">
      <alignment horizontal="right" shrinkToFit="0" vertical="center" wrapText="0"/>
    </xf>
    <xf borderId="0" fillId="0" fontId="16" numFmtId="0" xfId="0" applyAlignment="1" applyFont="1">
      <alignment horizontal="left" shrinkToFit="0" vertical="center" wrapText="0"/>
    </xf>
    <xf borderId="0" fillId="0" fontId="17" numFmtId="164" xfId="0" applyAlignment="1" applyFont="1" applyNumberFormat="1">
      <alignment horizontal="right" shrinkToFit="0" vertical="center" wrapText="0"/>
    </xf>
    <xf borderId="5" fillId="0" fontId="1" numFmtId="0" xfId="0" applyAlignment="1" applyBorder="1" applyFont="1">
      <alignment shrinkToFit="0" vertical="bottom" wrapText="0"/>
    </xf>
    <xf borderId="0" fillId="0" fontId="16" numFmtId="164" xfId="0" applyAlignment="1" applyFont="1" applyNumberFormat="1">
      <alignment horizontal="right" shrinkToFit="0" vertical="center" wrapText="0"/>
    </xf>
    <xf borderId="1" fillId="5" fontId="8" numFmtId="0" xfId="0" applyAlignment="1" applyBorder="1" applyFill="1" applyFont="1">
      <alignment horizontal="left" shrinkToFit="0" vertical="center" wrapText="0"/>
    </xf>
    <xf borderId="1" fillId="5" fontId="1" numFmtId="0" xfId="0" applyAlignment="1" applyBorder="1" applyFont="1">
      <alignment shrinkToFit="0" vertical="bottom" wrapText="0"/>
    </xf>
    <xf borderId="0" fillId="0" fontId="16" numFmtId="165" xfId="0" applyAlignment="1" applyFont="1" applyNumberFormat="1">
      <alignment horizontal="right" shrinkToFit="0" vertical="center" wrapText="0"/>
    </xf>
    <xf borderId="1" fillId="6" fontId="16" numFmtId="0" xfId="0" applyAlignment="1" applyBorder="1" applyFill="1" applyFont="1">
      <alignment horizontal="left" shrinkToFit="0" vertical="center" wrapText="0"/>
    </xf>
    <xf borderId="1" fillId="6" fontId="1" numFmtId="0" xfId="0" applyAlignment="1" applyBorder="1" applyFont="1">
      <alignment shrinkToFit="0" vertical="bottom" wrapText="0"/>
    </xf>
    <xf borderId="1" fillId="6" fontId="16" numFmtId="166" xfId="0" applyAlignment="1" applyBorder="1" applyFont="1" applyNumberFormat="1">
      <alignment horizontal="right" shrinkToFit="0" vertical="center" wrapText="0"/>
    </xf>
    <xf borderId="0" fillId="0" fontId="9" numFmtId="168" xfId="0" applyAlignment="1" applyFont="1" applyNumberFormat="1">
      <alignment horizontal="right" shrinkToFit="0" vertical="center" wrapText="0"/>
    </xf>
    <xf borderId="0" fillId="0" fontId="15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center" shrinkToFit="0" vertical="center" wrapText="0"/>
    </xf>
    <xf borderId="1" fillId="7" fontId="19" numFmtId="10" xfId="0" applyAlignment="1" applyBorder="1" applyFill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8.0"/>
    <col customWidth="1" min="3" max="3" width="50.0"/>
    <col customWidth="1" min="4" max="4" width="3.0"/>
    <col customWidth="1" min="5" max="5" width="18.0"/>
    <col customWidth="1" min="6" max="6" width="3.0"/>
    <col customWidth="1" min="7" max="26" width="8.71"/>
  </cols>
  <sheetData>
    <row r="1" ht="4.5" customHeight="1">
      <c r="A1" s="1"/>
      <c r="B1" s="1"/>
      <c r="C1" s="1"/>
      <c r="D1" s="1"/>
      <c r="E1" s="1"/>
      <c r="F1" s="1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.25" customHeight="1">
      <c r="A4" s="2"/>
      <c r="B4" s="3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2"/>
    </row>
    <row r="5" ht="15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7.25" customHeight="1">
      <c r="A6" s="2"/>
      <c r="B6" s="6" t="s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2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5.0" customHeight="1">
      <c r="A8" s="2"/>
      <c r="B8" s="7" t="s">
        <v>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2"/>
    </row>
    <row r="9" ht="15.0" customHeight="1">
      <c r="A9" s="2"/>
      <c r="B9" s="2"/>
      <c r="C9" s="2"/>
      <c r="D9" s="2"/>
      <c r="E9" s="2"/>
      <c r="F9" s="2"/>
      <c r="G9" s="2"/>
      <c r="H9" s="8" t="s">
        <v>3</v>
      </c>
      <c r="I9" s="2"/>
      <c r="J9" s="2"/>
      <c r="K9" s="2"/>
      <c r="L9" s="2"/>
      <c r="M9" s="2"/>
      <c r="N9" s="2"/>
      <c r="O9" s="2"/>
    </row>
    <row r="10" ht="15.0" customHeight="1">
      <c r="A10" s="2"/>
      <c r="B10" s="9" t="s">
        <v>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2"/>
    </row>
    <row r="11" ht="15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5.0" customHeight="1">
      <c r="A12" s="2"/>
      <c r="B12" s="10" t="s">
        <v>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2"/>
    </row>
    <row r="13" ht="15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 ht="15.0" customHeight="1">
      <c r="A16" s="1"/>
      <c r="B16" s="11" t="s">
        <v>6</v>
      </c>
      <c r="C16" s="11" t="s">
        <v>7</v>
      </c>
      <c r="D16" s="1"/>
      <c r="E16" s="11" t="s">
        <v>8</v>
      </c>
      <c r="F16" s="1"/>
    </row>
    <row r="17" ht="15.0" customHeight="1">
      <c r="A17" s="1"/>
      <c r="B17" s="12" t="s">
        <v>9</v>
      </c>
      <c r="C17" s="12" t="s">
        <v>10</v>
      </c>
      <c r="D17" s="1"/>
      <c r="E17" s="13" t="s">
        <v>11</v>
      </c>
      <c r="F17" s="1"/>
    </row>
    <row r="18" ht="15.0" customHeight="1">
      <c r="A18" s="1"/>
      <c r="B18" s="12" t="s">
        <v>12</v>
      </c>
      <c r="C18" s="12" t="s">
        <v>2</v>
      </c>
      <c r="D18" s="1"/>
      <c r="E18" s="13" t="s">
        <v>13</v>
      </c>
      <c r="F18" s="1"/>
    </row>
    <row r="19" ht="15.0" customHeight="1">
      <c r="A19" s="1"/>
      <c r="B19" s="12" t="s">
        <v>14</v>
      </c>
      <c r="C19" s="12" t="s">
        <v>15</v>
      </c>
      <c r="D19" s="1"/>
      <c r="E19" s="13" t="s">
        <v>16</v>
      </c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30.0" customHeight="1">
      <c r="A23" s="1"/>
      <c r="B23" s="14" t="s">
        <v>17</v>
      </c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6">
    <mergeCell ref="B4:N4"/>
    <mergeCell ref="B6:N6"/>
    <mergeCell ref="B8:N8"/>
    <mergeCell ref="B10:N10"/>
    <mergeCell ref="B12:N12"/>
    <mergeCell ref="B23:N2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.57"/>
    <col customWidth="1" min="2" max="2" width="38.0"/>
    <col customWidth="1" min="3" max="4" width="16.0"/>
    <col customWidth="1" min="5" max="5" width="2.0"/>
    <col customWidth="1" min="6" max="6" width="38.0"/>
    <col customWidth="1" min="7" max="8" width="16.0"/>
    <col customWidth="1" min="9" max="9" width="2.0"/>
    <col customWidth="1" min="10" max="26" width="8.71"/>
  </cols>
  <sheetData>
    <row r="1" ht="21.75" customHeight="1">
      <c r="A1" s="2"/>
      <c r="B1" s="15" t="s">
        <v>18</v>
      </c>
      <c r="C1" s="4"/>
      <c r="D1" s="4"/>
      <c r="E1" s="4"/>
      <c r="F1" s="4"/>
      <c r="G1" s="4"/>
      <c r="H1" s="5"/>
      <c r="I1" s="2"/>
    </row>
    <row r="2" ht="15.75" customHeight="1">
      <c r="A2" s="1"/>
      <c r="B2" s="16"/>
      <c r="C2" s="16" t="s">
        <v>19</v>
      </c>
      <c r="D2" s="16" t="s">
        <v>20</v>
      </c>
      <c r="E2" s="1"/>
      <c r="F2" s="16"/>
      <c r="G2" s="16" t="s">
        <v>19</v>
      </c>
      <c r="H2" s="16" t="s">
        <v>20</v>
      </c>
      <c r="I2" s="1"/>
    </row>
    <row r="3">
      <c r="A3" s="1"/>
      <c r="B3" s="1"/>
      <c r="C3" s="1"/>
      <c r="D3" s="1"/>
      <c r="E3" s="1"/>
      <c r="F3" s="1"/>
      <c r="G3" s="1"/>
      <c r="H3" s="1"/>
      <c r="I3" s="1"/>
    </row>
    <row r="4" ht="15.0" customHeight="1">
      <c r="A4" s="1"/>
      <c r="B4" s="17" t="s">
        <v>21</v>
      </c>
      <c r="C4" s="18"/>
      <c r="D4" s="18"/>
      <c r="E4" s="1"/>
      <c r="F4" s="1"/>
      <c r="G4" s="1"/>
      <c r="H4" s="1"/>
      <c r="I4" s="1"/>
    </row>
    <row r="5" ht="15.0" customHeight="1">
      <c r="A5" s="1"/>
      <c r="B5" s="12" t="s">
        <v>22</v>
      </c>
      <c r="C5" s="19">
        <v>950.0</v>
      </c>
      <c r="D5" s="20" t="s">
        <v>23</v>
      </c>
      <c r="E5" s="1"/>
      <c r="F5" s="1"/>
      <c r="G5" s="1"/>
      <c r="H5" s="1"/>
      <c r="I5" s="1"/>
    </row>
    <row r="6" ht="15.0" customHeight="1">
      <c r="A6" s="1"/>
      <c r="B6" s="12" t="s">
        <v>24</v>
      </c>
      <c r="C6" s="19">
        <v>443.65</v>
      </c>
      <c r="D6" s="20" t="s">
        <v>25</v>
      </c>
      <c r="E6" s="1"/>
      <c r="F6" s="1"/>
      <c r="G6" s="1"/>
      <c r="H6" s="1"/>
      <c r="I6" s="1"/>
    </row>
    <row r="7" ht="15.0" customHeight="1">
      <c r="A7" s="1"/>
      <c r="B7" s="12" t="s">
        <v>26</v>
      </c>
      <c r="C7" s="21">
        <v>20.0</v>
      </c>
      <c r="D7" s="20" t="s">
        <v>27</v>
      </c>
      <c r="E7" s="1"/>
      <c r="F7" s="1"/>
      <c r="G7" s="1"/>
      <c r="H7" s="1"/>
      <c r="I7" s="1"/>
    </row>
    <row r="8" ht="15.0" customHeight="1">
      <c r="A8" s="1"/>
      <c r="B8" s="12" t="s">
        <v>28</v>
      </c>
      <c r="C8" s="19">
        <v>8880.0</v>
      </c>
      <c r="D8" s="20" t="s">
        <v>29</v>
      </c>
      <c r="E8" s="1"/>
      <c r="F8" s="1"/>
      <c r="G8" s="1"/>
      <c r="H8" s="1"/>
      <c r="I8" s="1"/>
    </row>
    <row r="9" ht="15.0" customHeight="1">
      <c r="A9" s="1"/>
      <c r="B9" s="12" t="s">
        <v>30</v>
      </c>
      <c r="C9" s="19">
        <v>11100.0</v>
      </c>
      <c r="D9" s="20" t="s">
        <v>31</v>
      </c>
      <c r="E9" s="1"/>
      <c r="F9" s="1"/>
      <c r="G9" s="1"/>
      <c r="H9" s="1"/>
      <c r="I9" s="1"/>
    </row>
    <row r="10" ht="15.0" customHeight="1">
      <c r="A10" s="1"/>
      <c r="B10" s="12" t="s">
        <v>32</v>
      </c>
      <c r="C10" s="22">
        <v>0.2</v>
      </c>
      <c r="D10" s="20" t="s">
        <v>33</v>
      </c>
      <c r="E10" s="1"/>
      <c r="F10" s="1"/>
      <c r="G10" s="1"/>
      <c r="H10" s="1"/>
      <c r="I10" s="1"/>
    </row>
    <row r="11" ht="15.0" customHeight="1">
      <c r="A11" s="1"/>
      <c r="B11" s="12" t="s">
        <v>34</v>
      </c>
      <c r="C11" s="23">
        <f>C5*C6/1000</f>
        <v>421.4675</v>
      </c>
      <c r="D11" s="20" t="s">
        <v>35</v>
      </c>
      <c r="E11" s="1"/>
      <c r="F11" s="1"/>
      <c r="G11" s="1"/>
      <c r="H11" s="1"/>
      <c r="I11" s="1"/>
    </row>
    <row r="12">
      <c r="A12" s="1"/>
      <c r="B12" s="1"/>
      <c r="C12" s="1"/>
      <c r="D12" s="1"/>
      <c r="E12" s="1"/>
      <c r="F12" s="1"/>
      <c r="G12" s="1"/>
      <c r="H12" s="1"/>
      <c r="I12" s="1"/>
    </row>
    <row r="13" ht="15.0" customHeight="1">
      <c r="A13" s="1"/>
      <c r="B13" s="17" t="s">
        <v>36</v>
      </c>
      <c r="C13" s="18"/>
      <c r="D13" s="18"/>
      <c r="E13" s="1"/>
      <c r="F13" s="17" t="s">
        <v>37</v>
      </c>
      <c r="G13" s="18"/>
      <c r="H13" s="18"/>
      <c r="I13" s="1"/>
    </row>
    <row r="14" ht="15.0" customHeight="1">
      <c r="A14" s="1"/>
      <c r="B14" s="12" t="s">
        <v>38</v>
      </c>
      <c r="C14" s="22">
        <v>0.5</v>
      </c>
      <c r="D14" s="20" t="s">
        <v>39</v>
      </c>
      <c r="E14" s="1"/>
      <c r="F14" s="12" t="s">
        <v>22</v>
      </c>
      <c r="G14" s="21">
        <v>84.0</v>
      </c>
      <c r="H14" s="20" t="s">
        <v>40</v>
      </c>
      <c r="I14" s="1"/>
    </row>
    <row r="15" ht="15.0" customHeight="1">
      <c r="A15" s="1"/>
      <c r="B15" s="12" t="s">
        <v>41</v>
      </c>
      <c r="C15" s="22">
        <v>0.3</v>
      </c>
      <c r="D15" s="20" t="s">
        <v>39</v>
      </c>
      <c r="E15" s="1"/>
      <c r="F15" s="12" t="s">
        <v>42</v>
      </c>
      <c r="G15" s="22">
        <v>0.3</v>
      </c>
      <c r="H15" s="20" t="s">
        <v>43</v>
      </c>
      <c r="I15" s="1"/>
    </row>
    <row r="16" ht="15.0" customHeight="1">
      <c r="A16" s="1"/>
      <c r="B16" s="12" t="s">
        <v>44</v>
      </c>
      <c r="C16" s="24">
        <f>1-C14-C15</f>
        <v>0.2</v>
      </c>
      <c r="D16" s="20" t="s">
        <v>45</v>
      </c>
      <c r="E16" s="1"/>
      <c r="F16" s="12" t="s">
        <v>46</v>
      </c>
      <c r="G16" s="25">
        <f>G14*(1+G15)</f>
        <v>109.2</v>
      </c>
      <c r="H16" s="20" t="s">
        <v>47</v>
      </c>
      <c r="I16" s="1"/>
    </row>
    <row r="17" ht="15.0" customHeight="1">
      <c r="A17" s="1"/>
      <c r="B17" s="12" t="s">
        <v>48</v>
      </c>
      <c r="C17" s="26">
        <v>7.0</v>
      </c>
      <c r="D17" s="20" t="s">
        <v>39</v>
      </c>
      <c r="E17" s="1"/>
      <c r="F17" s="12" t="s">
        <v>24</v>
      </c>
      <c r="G17" s="19">
        <v>130.0</v>
      </c>
      <c r="H17" s="20" t="s">
        <v>49</v>
      </c>
      <c r="I17" s="1"/>
    </row>
    <row r="18" ht="15.0" customHeight="1">
      <c r="A18" s="1"/>
      <c r="B18" s="12" t="s">
        <v>50</v>
      </c>
      <c r="C18" s="22">
        <v>0.055</v>
      </c>
      <c r="D18" s="20" t="s">
        <v>51</v>
      </c>
      <c r="E18" s="1"/>
      <c r="F18" s="12" t="s">
        <v>52</v>
      </c>
      <c r="G18" s="23">
        <f>G16*G17/1000</f>
        <v>14.196</v>
      </c>
      <c r="H18" s="20" t="s">
        <v>53</v>
      </c>
      <c r="I18" s="1"/>
    </row>
    <row r="19" ht="15.0" customHeight="1">
      <c r="A19" s="1"/>
      <c r="B19" s="12" t="s">
        <v>54</v>
      </c>
      <c r="C19" s="22">
        <v>0.015</v>
      </c>
      <c r="D19" s="20" t="s">
        <v>55</v>
      </c>
      <c r="E19" s="1"/>
      <c r="F19" s="12" t="s">
        <v>56</v>
      </c>
      <c r="G19" s="21">
        <v>4.6</v>
      </c>
      <c r="H19" s="20" t="s">
        <v>57</v>
      </c>
      <c r="I19" s="1"/>
    </row>
    <row r="20" ht="15.0" customHeight="1">
      <c r="A20" s="1"/>
      <c r="B20" s="12" t="s">
        <v>58</v>
      </c>
      <c r="C20" s="19">
        <v>75.0</v>
      </c>
      <c r="D20" s="20" t="s">
        <v>59</v>
      </c>
      <c r="E20" s="1"/>
      <c r="F20" s="12" t="s">
        <v>28</v>
      </c>
      <c r="G20" s="19">
        <v>578.0</v>
      </c>
      <c r="H20" s="20" t="s">
        <v>60</v>
      </c>
      <c r="I20" s="1"/>
    </row>
    <row r="21" ht="15.0" customHeight="1">
      <c r="A21" s="1"/>
      <c r="B21" s="1"/>
      <c r="C21" s="1"/>
      <c r="D21" s="1"/>
      <c r="E21" s="1"/>
      <c r="F21" s="12" t="s">
        <v>30</v>
      </c>
      <c r="G21" s="19">
        <v>750.0</v>
      </c>
      <c r="H21" s="20" t="s">
        <v>61</v>
      </c>
      <c r="I21" s="1"/>
    </row>
    <row r="22" ht="15.0" customHeight="1">
      <c r="A22" s="1"/>
      <c r="B22" s="1"/>
      <c r="C22" s="1"/>
      <c r="D22" s="1"/>
      <c r="E22" s="1"/>
      <c r="F22" s="12" t="s">
        <v>32</v>
      </c>
      <c r="G22" s="22">
        <v>0.23</v>
      </c>
      <c r="H22" s="20" t="s">
        <v>62</v>
      </c>
      <c r="I22" s="1"/>
    </row>
    <row r="23" ht="15.0" customHeight="1">
      <c r="A23" s="1"/>
      <c r="B23" s="1"/>
      <c r="C23" s="1"/>
      <c r="D23" s="1"/>
      <c r="E23" s="1"/>
      <c r="F23" s="12" t="s">
        <v>63</v>
      </c>
      <c r="G23" s="19">
        <v>7510.0</v>
      </c>
      <c r="H23" s="20" t="s">
        <v>64</v>
      </c>
      <c r="I23" s="1"/>
    </row>
    <row r="24" ht="15.0" customHeight="1">
      <c r="A24" s="1"/>
      <c r="B24" s="1"/>
      <c r="C24" s="1"/>
      <c r="D24" s="1"/>
      <c r="E24" s="1"/>
      <c r="F24" s="12" t="s">
        <v>65</v>
      </c>
      <c r="G24" s="19">
        <v>2000.0</v>
      </c>
      <c r="H24" s="20" t="s">
        <v>66</v>
      </c>
      <c r="I24" s="1"/>
    </row>
    <row r="25" ht="15.0" customHeight="1">
      <c r="A25" s="1"/>
      <c r="B25" s="1"/>
      <c r="C25" s="1"/>
      <c r="D25" s="1"/>
      <c r="E25" s="1"/>
      <c r="F25" s="12" t="s">
        <v>67</v>
      </c>
      <c r="G25" s="19">
        <v>549.0</v>
      </c>
      <c r="H25" s="20" t="s">
        <v>66</v>
      </c>
      <c r="I25" s="1"/>
    </row>
    <row r="26" ht="15.0" customHeight="1">
      <c r="A26" s="1"/>
      <c r="B26" s="1"/>
      <c r="C26" s="1"/>
      <c r="D26" s="1"/>
      <c r="E26" s="1"/>
      <c r="F26" s="12" t="s">
        <v>68</v>
      </c>
      <c r="G26" s="19">
        <v>300.0</v>
      </c>
      <c r="H26" s="20" t="s">
        <v>69</v>
      </c>
      <c r="I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</row>
    <row r="29" ht="15.0" customHeight="1">
      <c r="A29" s="1"/>
      <c r="B29" s="17" t="s">
        <v>70</v>
      </c>
      <c r="C29" s="18"/>
      <c r="D29" s="18"/>
      <c r="E29" s="1"/>
      <c r="F29" s="1"/>
      <c r="G29" s="1"/>
      <c r="H29" s="1"/>
      <c r="I29" s="1"/>
    </row>
    <row r="30" ht="15.0" customHeight="1">
      <c r="A30" s="1"/>
      <c r="B30" s="12" t="s">
        <v>71</v>
      </c>
      <c r="C30" s="19">
        <v>2500.0</v>
      </c>
      <c r="D30" s="20" t="s">
        <v>72</v>
      </c>
      <c r="E30" s="1"/>
      <c r="F30" s="1"/>
      <c r="G30" s="1"/>
      <c r="H30" s="1"/>
      <c r="I30" s="1"/>
    </row>
    <row r="31" ht="15.0" customHeight="1">
      <c r="A31" s="1"/>
      <c r="B31" s="12" t="s">
        <v>73</v>
      </c>
      <c r="C31" s="19">
        <v>3200.0</v>
      </c>
      <c r="D31" s="20" t="s">
        <v>74</v>
      </c>
      <c r="E31" s="1"/>
      <c r="F31" s="1"/>
      <c r="G31" s="1"/>
      <c r="H31" s="1"/>
      <c r="I31" s="1"/>
    </row>
    <row r="32" ht="15.0" customHeight="1">
      <c r="A32" s="1"/>
      <c r="B32" s="12" t="s">
        <v>75</v>
      </c>
      <c r="C32" s="23">
        <f>C31-C30</f>
        <v>700</v>
      </c>
      <c r="D32" s="20" t="s">
        <v>76</v>
      </c>
      <c r="E32" s="1"/>
      <c r="F32" s="1"/>
      <c r="G32" s="1"/>
      <c r="H32" s="1"/>
      <c r="I32" s="1"/>
    </row>
    <row r="33" ht="15.0" customHeight="1">
      <c r="A33" s="1"/>
      <c r="B33" s="12" t="s">
        <v>77</v>
      </c>
      <c r="C33" s="26">
        <v>20.0</v>
      </c>
      <c r="D33" s="20" t="s">
        <v>78</v>
      </c>
      <c r="E33" s="1"/>
      <c r="F33" s="1"/>
      <c r="G33" s="1"/>
      <c r="H33" s="1"/>
      <c r="I33" s="1"/>
    </row>
    <row r="34" ht="15.0" customHeight="1">
      <c r="A34" s="1"/>
      <c r="B34" s="12" t="s">
        <v>79</v>
      </c>
      <c r="C34" s="23">
        <f>C32/C33</f>
        <v>35</v>
      </c>
      <c r="D34" s="20" t="s">
        <v>80</v>
      </c>
      <c r="E34" s="1"/>
      <c r="F34" s="1"/>
      <c r="G34" s="1"/>
      <c r="H34" s="1"/>
      <c r="I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1">
    <mergeCell ref="B1:H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32.0"/>
    <col customWidth="1" min="3" max="3" width="18.0"/>
    <col customWidth="1" min="4" max="4" width="14.0"/>
    <col customWidth="1" min="5" max="5" width="4.0"/>
    <col customWidth="1" min="6" max="6" width="32.0"/>
    <col customWidth="1" min="7" max="7" width="18.0"/>
    <col customWidth="1" min="8" max="8" width="14.0"/>
    <col customWidth="1" min="9" max="9" width="2.0"/>
    <col customWidth="1" min="10" max="26" width="8.71"/>
  </cols>
  <sheetData>
    <row r="1" ht="21.75" customHeight="1">
      <c r="A1" s="2"/>
      <c r="B1" s="15" t="s">
        <v>81</v>
      </c>
      <c r="C1" s="4"/>
      <c r="D1" s="4"/>
      <c r="E1" s="4"/>
      <c r="F1" s="4"/>
      <c r="G1" s="4"/>
      <c r="H1" s="5"/>
      <c r="I1" s="2"/>
    </row>
    <row r="2" ht="15.75" customHeight="1">
      <c r="A2" s="1"/>
      <c r="B2" s="16" t="s">
        <v>82</v>
      </c>
      <c r="C2" s="16" t="s">
        <v>83</v>
      </c>
      <c r="D2" s="16" t="s">
        <v>84</v>
      </c>
      <c r="E2" s="1"/>
      <c r="F2" s="16" t="s">
        <v>85</v>
      </c>
      <c r="G2" s="16" t="s">
        <v>83</v>
      </c>
      <c r="H2" s="16" t="s">
        <v>84</v>
      </c>
      <c r="I2" s="1"/>
    </row>
    <row r="3" ht="15.0" customHeight="1">
      <c r="A3" s="1"/>
      <c r="B3" s="27" t="s">
        <v>86</v>
      </c>
      <c r="C3" s="28">
        <v>14196.0</v>
      </c>
      <c r="D3" s="20" t="s">
        <v>87</v>
      </c>
      <c r="E3" s="1"/>
      <c r="F3" s="1"/>
      <c r="G3" s="1"/>
      <c r="H3" s="1"/>
      <c r="I3" s="1"/>
    </row>
    <row r="4" ht="15.0" customHeight="1">
      <c r="A4" s="1"/>
      <c r="B4" s="12" t="s">
        <v>88</v>
      </c>
      <c r="C4" s="22">
        <v>0.5</v>
      </c>
      <c r="D4" s="1"/>
      <c r="E4" s="1"/>
      <c r="F4" s="1"/>
      <c r="G4" s="1"/>
      <c r="H4" s="1"/>
      <c r="I4" s="1"/>
    </row>
    <row r="5" ht="15.0" customHeight="1">
      <c r="A5" s="1"/>
      <c r="B5" s="12" t="s">
        <v>89</v>
      </c>
      <c r="C5" s="22">
        <v>0.3</v>
      </c>
      <c r="D5" s="1"/>
      <c r="E5" s="1"/>
      <c r="F5" s="1"/>
      <c r="G5" s="1"/>
      <c r="H5" s="1"/>
      <c r="I5" s="1"/>
    </row>
    <row r="6" ht="15.0" customHeight="1">
      <c r="A6" s="1"/>
      <c r="B6" s="12" t="s">
        <v>90</v>
      </c>
      <c r="C6" s="24">
        <f>1-C4-C5</f>
        <v>0.2</v>
      </c>
      <c r="D6" s="1"/>
      <c r="E6" s="1"/>
      <c r="F6" s="1"/>
      <c r="G6" s="1"/>
      <c r="H6" s="1"/>
      <c r="I6" s="1"/>
    </row>
    <row r="7" ht="15.0" customHeight="1">
      <c r="A7" s="1"/>
      <c r="B7" s="29"/>
      <c r="C7" s="29"/>
      <c r="D7" s="29"/>
      <c r="E7" s="29"/>
      <c r="F7" s="29"/>
      <c r="G7" s="29"/>
      <c r="H7" s="29"/>
      <c r="I7" s="1"/>
    </row>
    <row r="8" ht="15.0" customHeight="1">
      <c r="A8" s="1"/>
      <c r="B8" s="17" t="s">
        <v>82</v>
      </c>
      <c r="C8" s="18"/>
      <c r="D8" s="18"/>
      <c r="E8" s="1"/>
      <c r="F8" s="17" t="s">
        <v>85</v>
      </c>
      <c r="G8" s="18"/>
      <c r="H8" s="18"/>
      <c r="I8" s="1"/>
    </row>
    <row r="9" ht="15.0" customHeight="1">
      <c r="A9" s="1"/>
      <c r="B9" s="12" t="s">
        <v>91</v>
      </c>
      <c r="C9" s="23">
        <f>C3*C4</f>
        <v>7098</v>
      </c>
      <c r="D9" s="24">
        <f>C9/C3</f>
        <v>0.5</v>
      </c>
      <c r="E9" s="1"/>
      <c r="F9" s="12" t="s">
        <v>92</v>
      </c>
      <c r="G9" s="19">
        <v>14196.0</v>
      </c>
      <c r="H9" s="24">
        <f>G9/C3</f>
        <v>1</v>
      </c>
      <c r="I9" s="1"/>
    </row>
    <row r="10" ht="15.0" customHeight="1">
      <c r="A10" s="1"/>
      <c r="B10" s="12" t="s">
        <v>93</v>
      </c>
      <c r="C10" s="23">
        <f>C3*C5</f>
        <v>4258.8</v>
      </c>
      <c r="D10" s="24">
        <f>C10/C3</f>
        <v>0.3</v>
      </c>
      <c r="E10" s="1"/>
      <c r="F10" s="12" t="s">
        <v>94</v>
      </c>
      <c r="G10" s="23">
        <f>C3*C5*0.015</f>
        <v>63.882</v>
      </c>
      <c r="H10" s="24">
        <f>G10/C3</f>
        <v>0.0045</v>
      </c>
      <c r="I10" s="1"/>
    </row>
    <row r="11" ht="15.0" customHeight="1">
      <c r="A11" s="1"/>
      <c r="B11" s="12" t="s">
        <v>95</v>
      </c>
      <c r="C11" s="23">
        <f>G13-C9-C10</f>
        <v>2978.082</v>
      </c>
      <c r="D11" s="24">
        <f>C11/C3</f>
        <v>0.2097831784</v>
      </c>
      <c r="E11" s="1"/>
      <c r="F11" s="12" t="s">
        <v>96</v>
      </c>
      <c r="G11" s="19">
        <v>75.0</v>
      </c>
      <c r="H11" s="24">
        <f>G11/C3</f>
        <v>0.00528317836</v>
      </c>
      <c r="I11" s="1"/>
    </row>
    <row r="12" ht="15.0" customHeight="1">
      <c r="A12" s="1"/>
      <c r="B12" s="29"/>
      <c r="C12" s="29"/>
      <c r="D12" s="29"/>
      <c r="E12" s="29"/>
      <c r="F12" s="29"/>
      <c r="G12" s="29"/>
      <c r="H12" s="29"/>
      <c r="I12" s="1"/>
    </row>
    <row r="13" ht="15.0" customHeight="1">
      <c r="A13" s="1"/>
      <c r="B13" s="27" t="s">
        <v>97</v>
      </c>
      <c r="C13" s="30">
        <f>SUM(C9:C11)</f>
        <v>14334.882</v>
      </c>
      <c r="D13" s="24">
        <v>1.0</v>
      </c>
      <c r="E13" s="1"/>
      <c r="F13" s="27" t="s">
        <v>98</v>
      </c>
      <c r="G13" s="30">
        <f>SUM(G9:G11)</f>
        <v>14334.882</v>
      </c>
      <c r="H13" s="24">
        <f>G13/G9</f>
        <v>1.009783178</v>
      </c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 ht="15.0" customHeight="1">
      <c r="A15" s="1"/>
      <c r="B15" s="11" t="s">
        <v>99</v>
      </c>
      <c r="C15" s="30">
        <f>C14-G14</f>
        <v>0</v>
      </c>
      <c r="D15" s="20" t="s">
        <v>100</v>
      </c>
      <c r="E15" s="1"/>
      <c r="F15" s="1"/>
      <c r="G15" s="1"/>
      <c r="H15" s="1"/>
      <c r="I15" s="1"/>
    </row>
    <row r="16">
      <c r="A16" s="1"/>
      <c r="B16" s="1"/>
      <c r="C16" s="1"/>
      <c r="D16" s="1"/>
      <c r="E16" s="1"/>
      <c r="F16" s="1"/>
      <c r="G16" s="1"/>
      <c r="H16" s="1"/>
      <c r="I16" s="1"/>
    </row>
    <row r="17" ht="15.0" customHeight="1">
      <c r="A17" s="1"/>
      <c r="B17" s="12" t="s">
        <v>101</v>
      </c>
      <c r="C17" s="23">
        <f>C9/950</f>
        <v>7.471578947</v>
      </c>
      <c r="D17" s="20" t="s">
        <v>102</v>
      </c>
      <c r="E17" s="1"/>
      <c r="F17" s="1"/>
      <c r="G17" s="1"/>
      <c r="H17" s="1"/>
      <c r="I17" s="1"/>
    </row>
    <row r="18">
      <c r="A18" s="1"/>
      <c r="B18" s="1"/>
      <c r="C18" s="1"/>
      <c r="D18" s="1"/>
      <c r="E18" s="1"/>
      <c r="F18" s="1"/>
      <c r="G18" s="1"/>
      <c r="H18" s="1"/>
      <c r="I18" s="1"/>
    </row>
    <row r="19">
      <c r="A19" s="1"/>
      <c r="B19" s="1"/>
      <c r="C19" s="1"/>
      <c r="D19" s="1"/>
      <c r="E19" s="1"/>
      <c r="F19" s="1"/>
      <c r="G19" s="1"/>
      <c r="H19" s="1"/>
      <c r="I19" s="1"/>
    </row>
    <row r="20">
      <c r="A20" s="1"/>
      <c r="B20" s="1"/>
      <c r="C20" s="1"/>
      <c r="D20" s="1"/>
      <c r="E20" s="1"/>
      <c r="F20" s="1"/>
      <c r="G20" s="1"/>
      <c r="H20" s="1"/>
      <c r="I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1">
    <mergeCell ref="B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.57"/>
    <col customWidth="1" min="2" max="2" width="44.0"/>
    <col customWidth="1" min="3" max="5" width="18.0"/>
    <col customWidth="1" min="6" max="6" width="2.0"/>
    <col customWidth="1" min="7" max="26" width="8.71"/>
  </cols>
  <sheetData>
    <row r="1" ht="21.75" customHeight="1">
      <c r="A1" s="2"/>
      <c r="B1" s="15" t="s">
        <v>103</v>
      </c>
      <c r="C1" s="4"/>
      <c r="D1" s="4"/>
      <c r="E1" s="5"/>
      <c r="F1" s="2"/>
    </row>
    <row r="2" ht="15.75" customHeight="1">
      <c r="A2" s="1"/>
      <c r="B2" s="16"/>
      <c r="C2" s="16" t="s">
        <v>104</v>
      </c>
      <c r="D2" s="16" t="s">
        <v>105</v>
      </c>
      <c r="E2" s="16" t="s">
        <v>106</v>
      </c>
      <c r="F2" s="1"/>
    </row>
    <row r="3" ht="15.0" customHeight="1">
      <c r="A3" s="1"/>
      <c r="B3" s="17" t="s">
        <v>107</v>
      </c>
      <c r="C3" s="18"/>
      <c r="D3" s="18"/>
      <c r="E3" s="18"/>
      <c r="F3" s="1"/>
    </row>
    <row r="4" ht="15.0" customHeight="1">
      <c r="A4" s="1"/>
      <c r="B4" s="12" t="s">
        <v>108</v>
      </c>
      <c r="C4" s="19">
        <v>11100.0</v>
      </c>
      <c r="D4" s="19">
        <v>750.0</v>
      </c>
      <c r="E4" s="23">
        <f>C4+D4</f>
        <v>11850</v>
      </c>
      <c r="F4" s="1"/>
    </row>
    <row r="5" ht="15.0" customHeight="1">
      <c r="A5" s="1"/>
      <c r="B5" s="31" t="s">
        <v>109</v>
      </c>
      <c r="C5" s="32"/>
      <c r="D5" s="32"/>
      <c r="E5" s="32"/>
      <c r="F5" s="1"/>
    </row>
    <row r="6" ht="15.0" customHeight="1">
      <c r="A6" s="1"/>
      <c r="B6" s="12" t="s">
        <v>110</v>
      </c>
      <c r="C6" s="1"/>
      <c r="D6" s="20" t="s">
        <v>111</v>
      </c>
      <c r="E6" s="23">
        <f>-(14196*0.3*0.055)</f>
        <v>-234.234</v>
      </c>
      <c r="F6" s="1"/>
    </row>
    <row r="7" ht="15.0" customHeight="1">
      <c r="A7" s="1"/>
      <c r="B7" s="12" t="s">
        <v>112</v>
      </c>
      <c r="C7" s="1"/>
      <c r="D7" s="20" t="s">
        <v>113</v>
      </c>
      <c r="E7" s="23">
        <f>-(14196*0.2*0.035)</f>
        <v>-99.372</v>
      </c>
      <c r="F7" s="1"/>
    </row>
    <row r="8" ht="15.0" customHeight="1">
      <c r="A8" s="1"/>
      <c r="B8" s="12" t="s">
        <v>114</v>
      </c>
      <c r="C8" s="1"/>
      <c r="D8" s="20" t="s">
        <v>115</v>
      </c>
      <c r="E8" s="23">
        <f>-(700/20)</f>
        <v>-35</v>
      </c>
      <c r="F8" s="1"/>
    </row>
    <row r="9" ht="15.0" customHeight="1">
      <c r="A9" s="1"/>
      <c r="B9" s="12" t="s">
        <v>116</v>
      </c>
      <c r="C9" s="1"/>
      <c r="D9" s="20" t="s">
        <v>117</v>
      </c>
      <c r="E9" s="23">
        <f>-75</f>
        <v>-75</v>
      </c>
      <c r="F9" s="1"/>
    </row>
    <row r="10" ht="15.0" customHeight="1">
      <c r="A10" s="1"/>
      <c r="B10" s="12" t="s">
        <v>118</v>
      </c>
      <c r="C10" s="1"/>
      <c r="D10" s="20" t="s">
        <v>119</v>
      </c>
      <c r="E10" s="23">
        <f>-(14196*0.3*0.015/7)</f>
        <v>-9.126</v>
      </c>
      <c r="F10" s="1"/>
    </row>
    <row r="11" ht="15.0" customHeight="1">
      <c r="A11" s="1"/>
      <c r="B11" s="12" t="s">
        <v>120</v>
      </c>
      <c r="C11" s="1"/>
      <c r="D11" s="20" t="s">
        <v>121</v>
      </c>
      <c r="E11" s="23">
        <f>300</f>
        <v>300</v>
      </c>
      <c r="F11" s="1"/>
    </row>
    <row r="12" ht="15.0" customHeight="1">
      <c r="A12" s="1"/>
      <c r="B12" s="29"/>
      <c r="C12" s="29"/>
      <c r="D12" s="29"/>
      <c r="E12" s="29"/>
      <c r="F12" s="1"/>
    </row>
    <row r="13" ht="15.0" customHeight="1">
      <c r="A13" s="1"/>
      <c r="B13" s="27" t="s">
        <v>122</v>
      </c>
      <c r="C13" s="1"/>
      <c r="D13" s="1"/>
      <c r="E13" s="30">
        <f>E4+SUM(E6:E11)</f>
        <v>11697.268</v>
      </c>
      <c r="F13" s="1"/>
    </row>
    <row r="14" ht="15.0" customHeight="1">
      <c r="A14" s="1"/>
      <c r="B14" s="12" t="s">
        <v>123</v>
      </c>
      <c r="C14" s="1"/>
      <c r="D14" s="20" t="s">
        <v>124</v>
      </c>
      <c r="E14" s="23">
        <f>-E13*0.205</f>
        <v>-2397.93994</v>
      </c>
      <c r="F14" s="1"/>
    </row>
    <row r="15" ht="15.0" customHeight="1">
      <c r="A15" s="1"/>
      <c r="B15" s="29"/>
      <c r="C15" s="29"/>
      <c r="D15" s="29"/>
      <c r="E15" s="29"/>
      <c r="F15" s="1"/>
    </row>
    <row r="16" ht="15.0" customHeight="1">
      <c r="A16" s="1"/>
      <c r="B16" s="27" t="s">
        <v>125</v>
      </c>
      <c r="C16" s="23">
        <f>C4*(1-0.2)</f>
        <v>8880</v>
      </c>
      <c r="D16" s="23">
        <f>D4*(1-0.23)</f>
        <v>577.5</v>
      </c>
      <c r="E16" s="30">
        <f>E13+E14</f>
        <v>9299.32806</v>
      </c>
      <c r="F16" s="1"/>
    </row>
    <row r="17" ht="15.0" customHeight="1">
      <c r="A17" s="1"/>
      <c r="B17" s="29"/>
      <c r="C17" s="29"/>
      <c r="D17" s="29"/>
      <c r="E17" s="29"/>
      <c r="F17" s="1"/>
    </row>
    <row r="18">
      <c r="A18" s="1"/>
      <c r="B18" s="1"/>
      <c r="C18" s="1"/>
      <c r="D18" s="1"/>
      <c r="E18" s="1"/>
      <c r="F18" s="1"/>
    </row>
    <row r="19" ht="15.0" customHeight="1">
      <c r="A19" s="1"/>
      <c r="B19" s="17" t="s">
        <v>126</v>
      </c>
      <c r="C19" s="18"/>
      <c r="D19" s="18"/>
      <c r="E19" s="18"/>
      <c r="F19" s="1"/>
    </row>
    <row r="20" ht="15.0" customHeight="1">
      <c r="A20" s="1"/>
      <c r="B20" s="12" t="s">
        <v>127</v>
      </c>
      <c r="C20" s="19">
        <v>443.65</v>
      </c>
      <c r="D20" s="1"/>
      <c r="E20" s="1"/>
      <c r="F20" s="1"/>
    </row>
    <row r="21" ht="15.0" customHeight="1">
      <c r="A21" s="1"/>
      <c r="B21" s="12" t="s">
        <v>128</v>
      </c>
      <c r="C21" s="1"/>
      <c r="D21" s="1"/>
      <c r="E21" s="23">
        <f>14196*0.5/950</f>
        <v>7.471578947</v>
      </c>
      <c r="F21" s="1"/>
    </row>
    <row r="22" ht="15.0" customHeight="1">
      <c r="A22" s="1"/>
      <c r="B22" s="27" t="s">
        <v>129</v>
      </c>
      <c r="C22" s="1"/>
      <c r="D22" s="1"/>
      <c r="E22" s="30">
        <f>C20+E21</f>
        <v>451.1215789</v>
      </c>
      <c r="F22" s="1"/>
    </row>
    <row r="23" ht="15.0" customHeight="1">
      <c r="A23" s="1"/>
      <c r="B23" s="29"/>
      <c r="C23" s="29"/>
      <c r="D23" s="29"/>
      <c r="E23" s="29"/>
      <c r="F23" s="1"/>
    </row>
    <row r="24" ht="15.0" customHeight="1">
      <c r="A24" s="1"/>
      <c r="B24" s="12" t="s">
        <v>130</v>
      </c>
      <c r="C24" s="21">
        <v>20.0</v>
      </c>
      <c r="D24" s="1"/>
      <c r="E24" s="1"/>
      <c r="F24" s="1"/>
    </row>
    <row r="25" ht="15.0" customHeight="1">
      <c r="A25" s="1"/>
      <c r="B25" s="12" t="s">
        <v>131</v>
      </c>
      <c r="C25" s="1"/>
      <c r="D25" s="21">
        <v>4.6</v>
      </c>
      <c r="E25" s="1"/>
      <c r="F25" s="1"/>
    </row>
    <row r="26" ht="15.0" customHeight="1">
      <c r="A26" s="1"/>
      <c r="B26" s="27" t="s">
        <v>132</v>
      </c>
      <c r="C26" s="1"/>
      <c r="D26" s="1"/>
      <c r="E26" s="33">
        <f>E16/E22</f>
        <v>20.61379569</v>
      </c>
      <c r="F26" s="1"/>
    </row>
    <row r="27" ht="15.0" customHeight="1">
      <c r="A27" s="1"/>
      <c r="B27" s="29"/>
      <c r="C27" s="29"/>
      <c r="D27" s="29"/>
      <c r="E27" s="29"/>
      <c r="F27" s="1"/>
    </row>
    <row r="28" ht="15.0" customHeight="1">
      <c r="A28" s="1"/>
      <c r="B28" s="27" t="s">
        <v>133</v>
      </c>
      <c r="C28" s="1"/>
      <c r="D28" s="1"/>
      <c r="E28" s="33">
        <f>E26-C24</f>
        <v>0.6137956905</v>
      </c>
      <c r="F28" s="1"/>
    </row>
    <row r="29" ht="15.0" customHeight="1">
      <c r="A29" s="1"/>
      <c r="B29" s="34" t="s">
        <v>134</v>
      </c>
      <c r="C29" s="35"/>
      <c r="D29" s="35"/>
      <c r="E29" s="36">
        <f>(E26-C24)/C24</f>
        <v>0.03068978453</v>
      </c>
      <c r="F29" s="1"/>
    </row>
    <row r="30" ht="15.0" customHeight="1">
      <c r="A30" s="1"/>
      <c r="B30" s="29"/>
      <c r="C30" s="29"/>
      <c r="D30" s="29"/>
      <c r="E30" s="29"/>
      <c r="F30" s="1"/>
    </row>
    <row r="31" ht="15.75" customHeight="1">
      <c r="A31" s="1"/>
      <c r="B31" s="1"/>
      <c r="C31" s="1"/>
      <c r="D31" s="1"/>
      <c r="E31" s="1"/>
      <c r="F31" s="1"/>
    </row>
    <row r="32" ht="15.0" customHeight="1">
      <c r="A32" s="1"/>
      <c r="B32" s="17" t="s">
        <v>135</v>
      </c>
      <c r="C32" s="18"/>
      <c r="D32" s="18"/>
      <c r="E32" s="18"/>
      <c r="F32" s="1"/>
    </row>
    <row r="33" ht="15.0" customHeight="1">
      <c r="A33" s="1"/>
      <c r="B33" s="12" t="s">
        <v>52</v>
      </c>
      <c r="C33" s="1"/>
      <c r="D33" s="1"/>
      <c r="E33" s="19">
        <v>14196.0</v>
      </c>
      <c r="F33" s="1"/>
    </row>
    <row r="34" ht="15.0" customHeight="1">
      <c r="A34" s="1"/>
      <c r="B34" s="12" t="s">
        <v>136</v>
      </c>
      <c r="C34" s="1"/>
      <c r="D34" s="1"/>
      <c r="E34" s="22">
        <v>0.3</v>
      </c>
      <c r="F34" s="1"/>
    </row>
    <row r="35" ht="15.0" customHeight="1">
      <c r="A35" s="1"/>
      <c r="B35" s="12" t="s">
        <v>137</v>
      </c>
      <c r="C35" s="1"/>
      <c r="D35" s="1"/>
      <c r="E35" s="37">
        <f>(14196+549-46)/1160</f>
        <v>12.67155172</v>
      </c>
      <c r="F35" s="1"/>
    </row>
    <row r="36" ht="15.0" customHeight="1">
      <c r="A36" s="1"/>
      <c r="B36" s="12" t="s">
        <v>138</v>
      </c>
      <c r="C36" s="1"/>
      <c r="D36" s="1"/>
      <c r="E36" s="37">
        <f>109.2/4.6</f>
        <v>23.73913043</v>
      </c>
      <c r="F36" s="1"/>
    </row>
    <row r="37" ht="15.0" customHeight="1">
      <c r="A37" s="1"/>
      <c r="B37" s="12" t="s">
        <v>139</v>
      </c>
      <c r="C37" s="1"/>
      <c r="D37" s="1"/>
      <c r="E37" s="23">
        <f>14196-2000</f>
        <v>12196</v>
      </c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42.0" customHeight="1">
      <c r="A40" s="1"/>
      <c r="B40" s="38" t="s">
        <v>140</v>
      </c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2">
    <mergeCell ref="B1:E1"/>
    <mergeCell ref="B40:E4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32.0"/>
    <col customWidth="1" min="3" max="7" width="14.0"/>
    <col customWidth="1" min="8" max="8" width="2.0"/>
    <col customWidth="1" min="9" max="26" width="8.71"/>
  </cols>
  <sheetData>
    <row r="1" ht="21.75" customHeight="1">
      <c r="A1" s="2"/>
      <c r="B1" s="15" t="s">
        <v>141</v>
      </c>
      <c r="C1" s="4"/>
      <c r="D1" s="4"/>
      <c r="E1" s="4"/>
      <c r="F1" s="4"/>
      <c r="G1" s="5"/>
      <c r="H1" s="2"/>
    </row>
    <row r="2">
      <c r="A2" s="1"/>
      <c r="B2" s="1"/>
      <c r="C2" s="1"/>
      <c r="D2" s="1"/>
      <c r="E2" s="1"/>
      <c r="F2" s="1"/>
      <c r="G2" s="1"/>
      <c r="H2" s="1"/>
    </row>
    <row r="3" ht="15.0" customHeight="1">
      <c r="A3" s="1"/>
      <c r="B3" s="39" t="s">
        <v>142</v>
      </c>
      <c r="C3" s="1"/>
      <c r="D3" s="1"/>
      <c r="E3" s="1"/>
      <c r="F3" s="1"/>
      <c r="G3" s="1"/>
      <c r="H3" s="1"/>
    </row>
    <row r="4" ht="15.0" customHeight="1">
      <c r="A4" s="1"/>
      <c r="B4" s="16" t="s">
        <v>143</v>
      </c>
      <c r="C4" s="16" t="s">
        <v>144</v>
      </c>
      <c r="D4" s="16" t="s">
        <v>145</v>
      </c>
      <c r="E4" s="16" t="s">
        <v>146</v>
      </c>
      <c r="F4" s="16" t="s">
        <v>147</v>
      </c>
      <c r="G4" s="16" t="s">
        <v>148</v>
      </c>
      <c r="H4" s="1"/>
    </row>
    <row r="5" ht="15.0" customHeight="1">
      <c r="A5" s="1"/>
      <c r="B5" s="40" t="s">
        <v>149</v>
      </c>
      <c r="C5" s="41">
        <v>0.034</v>
      </c>
      <c r="D5" s="41">
        <v>0.035</v>
      </c>
      <c r="E5" s="41">
        <v>0.036</v>
      </c>
      <c r="F5" s="41">
        <v>0.036</v>
      </c>
      <c r="G5" s="41">
        <v>0.037</v>
      </c>
      <c r="H5" s="1"/>
    </row>
    <row r="6" ht="15.0" customHeight="1">
      <c r="A6" s="1"/>
      <c r="B6" s="40" t="s">
        <v>150</v>
      </c>
      <c r="C6" s="41">
        <v>0.032</v>
      </c>
      <c r="D6" s="41">
        <v>0.033</v>
      </c>
      <c r="E6" s="41">
        <v>0.034</v>
      </c>
      <c r="F6" s="41">
        <v>0.035</v>
      </c>
      <c r="G6" s="41">
        <v>0.036</v>
      </c>
      <c r="H6" s="1"/>
    </row>
    <row r="7" ht="15.0" customHeight="1">
      <c r="A7" s="1"/>
      <c r="B7" s="40" t="s">
        <v>151</v>
      </c>
      <c r="C7" s="41">
        <v>0.03</v>
      </c>
      <c r="D7" s="41">
        <v>0.031</v>
      </c>
      <c r="E7" s="41">
        <v>0.032</v>
      </c>
      <c r="F7" s="41">
        <v>0.033</v>
      </c>
      <c r="G7" s="41">
        <v>0.034</v>
      </c>
      <c r="H7" s="1"/>
    </row>
    <row r="8" ht="15.0" customHeight="1">
      <c r="A8" s="1"/>
      <c r="B8" s="40" t="s">
        <v>152</v>
      </c>
      <c r="C8" s="41">
        <v>0.028</v>
      </c>
      <c r="D8" s="41">
        <v>0.029</v>
      </c>
      <c r="E8" s="41">
        <v>0.03</v>
      </c>
      <c r="F8" s="41">
        <v>0.031</v>
      </c>
      <c r="G8" s="41">
        <v>0.032</v>
      </c>
      <c r="H8" s="1"/>
    </row>
    <row r="9" ht="15.0" customHeight="1">
      <c r="A9" s="1"/>
      <c r="B9" s="40" t="s">
        <v>153</v>
      </c>
      <c r="C9" s="41">
        <v>0.026</v>
      </c>
      <c r="D9" s="41">
        <v>0.027</v>
      </c>
      <c r="E9" s="41">
        <v>0.028</v>
      </c>
      <c r="F9" s="41">
        <v>0.029</v>
      </c>
      <c r="G9" s="41">
        <v>0.03</v>
      </c>
      <c r="H9" s="1"/>
    </row>
    <row r="10" ht="15.0" customHeight="1">
      <c r="A10" s="1"/>
      <c r="B10" s="40" t="s">
        <v>154</v>
      </c>
      <c r="C10" s="41">
        <v>0.024</v>
      </c>
      <c r="D10" s="41">
        <v>0.025</v>
      </c>
      <c r="E10" s="41">
        <v>0.027</v>
      </c>
      <c r="F10" s="41">
        <v>0.028</v>
      </c>
      <c r="G10" s="41">
        <v>0.029</v>
      </c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 ht="15.0" customHeight="1">
      <c r="A13" s="1"/>
      <c r="B13" s="39" t="s">
        <v>155</v>
      </c>
      <c r="C13" s="1"/>
      <c r="D13" s="1"/>
      <c r="E13" s="1"/>
      <c r="F13" s="1"/>
      <c r="G13" s="1"/>
      <c r="H13" s="1"/>
    </row>
    <row r="14" ht="15.0" customHeight="1">
      <c r="A14" s="1"/>
      <c r="B14" s="16" t="s">
        <v>156</v>
      </c>
      <c r="C14" s="16" t="s">
        <v>157</v>
      </c>
      <c r="D14" s="16" t="s">
        <v>158</v>
      </c>
      <c r="E14" s="16" t="s">
        <v>159</v>
      </c>
      <c r="F14" s="16" t="s">
        <v>160</v>
      </c>
      <c r="G14" s="16" t="s">
        <v>161</v>
      </c>
      <c r="H14" s="1"/>
    </row>
    <row r="15" ht="15.0" customHeight="1">
      <c r="A15" s="1"/>
      <c r="B15" s="40" t="s">
        <v>149</v>
      </c>
      <c r="C15" s="41">
        <v>0.009</v>
      </c>
      <c r="D15" s="41">
        <v>0.018</v>
      </c>
      <c r="E15" s="41">
        <v>0.027</v>
      </c>
      <c r="F15" s="41">
        <v>0.036</v>
      </c>
      <c r="G15" s="41">
        <v>0.044</v>
      </c>
      <c r="H15" s="1"/>
    </row>
    <row r="16" ht="15.0" customHeight="1">
      <c r="A16" s="1"/>
      <c r="B16" s="40" t="s">
        <v>150</v>
      </c>
      <c r="C16" s="41">
        <v>0.007</v>
      </c>
      <c r="D16" s="41">
        <v>0.016</v>
      </c>
      <c r="E16" s="41">
        <v>0.025</v>
      </c>
      <c r="F16" s="41">
        <v>0.034</v>
      </c>
      <c r="G16" s="41">
        <v>0.043</v>
      </c>
      <c r="H16" s="1"/>
    </row>
    <row r="17" ht="15.0" customHeight="1">
      <c r="A17" s="1"/>
      <c r="B17" s="40" t="s">
        <v>151</v>
      </c>
      <c r="C17" s="41">
        <v>0.006</v>
      </c>
      <c r="D17" s="41">
        <v>0.014</v>
      </c>
      <c r="E17" s="41">
        <v>0.023</v>
      </c>
      <c r="F17" s="41">
        <v>0.032</v>
      </c>
      <c r="G17" s="41">
        <v>0.041</v>
      </c>
      <c r="H17" s="1"/>
    </row>
    <row r="18" ht="15.0" customHeight="1">
      <c r="A18" s="1"/>
      <c r="B18" s="40" t="s">
        <v>152</v>
      </c>
      <c r="C18" s="41">
        <v>0.004</v>
      </c>
      <c r="D18" s="41">
        <v>0.013</v>
      </c>
      <c r="E18" s="41">
        <v>0.021</v>
      </c>
      <c r="F18" s="41">
        <v>0.03</v>
      </c>
      <c r="G18" s="41">
        <v>0.039</v>
      </c>
      <c r="H18" s="1"/>
    </row>
    <row r="19" ht="15.0" customHeight="1">
      <c r="A19" s="1"/>
      <c r="B19" s="40" t="s">
        <v>153</v>
      </c>
      <c r="C19" s="41">
        <v>0.002</v>
      </c>
      <c r="D19" s="41">
        <v>0.011</v>
      </c>
      <c r="E19" s="41">
        <v>0.02</v>
      </c>
      <c r="F19" s="41">
        <v>0.028</v>
      </c>
      <c r="G19" s="41">
        <v>0.037</v>
      </c>
      <c r="H19" s="1"/>
    </row>
    <row r="20" ht="15.0" customHeight="1">
      <c r="A20" s="1"/>
      <c r="B20" s="40" t="s">
        <v>154</v>
      </c>
      <c r="C20" s="41">
        <v>0.0</v>
      </c>
      <c r="D20" s="41">
        <v>0.009</v>
      </c>
      <c r="E20" s="41">
        <v>0.018</v>
      </c>
      <c r="F20" s="41">
        <v>0.027</v>
      </c>
      <c r="G20" s="41">
        <v>0.035</v>
      </c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30.0" customHeight="1">
      <c r="A23" s="1"/>
      <c r="B23" s="38" t="s">
        <v>162</v>
      </c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2">
    <mergeCell ref="B1:G1"/>
    <mergeCell ref="B23:G2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2026-05-30T17:27:55Z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