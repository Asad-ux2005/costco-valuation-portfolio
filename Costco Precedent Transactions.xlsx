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60bfd5c86354ea/ASAD - This PC/Organised Files/02 Finance - Modelling and Case Studies/"/>
    </mc:Choice>
  </mc:AlternateContent>
  <xr:revisionPtr revIDLastSave="0" documentId="8_{EB68FE1B-4A0B-4629-AC2D-9D7EA2205388}" xr6:coauthVersionLast="47" xr6:coauthVersionMax="47" xr10:uidLastSave="{00000000-0000-0000-0000-000000000000}"/>
  <bookViews>
    <workbookView xWindow="14295" yWindow="0" windowWidth="14610" windowHeight="15585" tabRatio="500" firstSheet="2" activeTab="2" xr2:uid="{00000000-000D-0000-FFFF-FFFF00000000}"/>
  </bookViews>
  <sheets>
    <sheet name="Cover" sheetId="1" r:id="rId1"/>
    <sheet name="Precedent Transactions" sheetId="2" r:id="rId2"/>
    <sheet name="Implied Valu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7" i="2" l="1"/>
  <c r="M26" i="2"/>
  <c r="M25" i="2"/>
  <c r="M24" i="2"/>
  <c r="E24" i="3" s="1"/>
  <c r="H24" i="3" s="1"/>
  <c r="M23" i="2"/>
  <c r="D24" i="3" s="1"/>
  <c r="G24" i="3" s="1"/>
  <c r="L27" i="2"/>
  <c r="L26" i="2"/>
  <c r="F23" i="3" s="1" a="1"/>
  <c r="F23" i="3" s="1"/>
  <c r="I23" i="3" s="1"/>
  <c r="L25" i="2"/>
  <c r="L24" i="2"/>
  <c r="L23" i="2"/>
  <c r="D23" i="3" s="1"/>
  <c r="G23" i="3" s="1"/>
  <c r="L22" i="2"/>
  <c r="K27" i="2"/>
  <c r="K25" i="2"/>
  <c r="K24" i="2"/>
  <c r="E22" i="3" s="1"/>
  <c r="H22" i="3" s="1"/>
  <c r="K23" i="2"/>
  <c r="D22" i="3" s="1"/>
  <c r="G22" i="3" s="1"/>
  <c r="K22" i="2"/>
  <c r="M22" i="2"/>
  <c r="M18" i="2"/>
  <c r="M17" i="2"/>
  <c r="M12" i="2"/>
  <c r="L20" i="2"/>
  <c r="L19" i="2"/>
  <c r="L18" i="2"/>
  <c r="L17" i="2"/>
  <c r="L14" i="2"/>
  <c r="L13" i="2"/>
  <c r="L12" i="2"/>
  <c r="L8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F24" i="3"/>
  <c r="I24" i="3" s="1"/>
  <c r="K26" i="2"/>
  <c r="E23" i="3"/>
  <c r="H23" i="3" s="1"/>
  <c r="F22" i="3"/>
  <c r="I22" i="3" s="1"/>
  <c r="C12" i="3"/>
  <c r="C9" i="3"/>
  <c r="C1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<sst xmlns="http://schemas.openxmlformats.org/spreadsheetml/2006/main" count="156" uniqueCount="111">
  <si>
    <t>PRECEDENT TRANSACTIONS ANALYSIS</t>
  </si>
  <si>
    <t>Costco Wholesale Corporation (COST)</t>
  </si>
  <si>
    <t>Large-Format Retail / Wholesale Club Comparable Transactions  |  Strategic M&amp;A Context</t>
  </si>
  <si>
    <t>Prepared by:</t>
  </si>
  <si>
    <t>Date:</t>
  </si>
  <si>
    <t>Subject Company:</t>
  </si>
  <si>
    <t>Costco Wholesale Corporation</t>
  </si>
  <si>
    <t>Ticker:</t>
  </si>
  <si>
    <t>COST US Equity</t>
  </si>
  <si>
    <t>Fiscal Year End:</t>
  </si>
  <si>
    <t>August</t>
  </si>
  <si>
    <t>Currency:</t>
  </si>
  <si>
    <t>USD ($ in millions, except per share data)</t>
  </si>
  <si>
    <t>Transaction Universe:</t>
  </si>
  <si>
    <t>13 precedent transactions (2015–2025)</t>
  </si>
  <si>
    <t>Multiples Applied:</t>
  </si>
  <si>
    <t>EV / LTM Sales,  EV / LTM EBITDA,  Price / LTM EPS</t>
  </si>
  <si>
    <t>CONFIDENTIAL — FOR DISCUSSION PURPOSES ONLY</t>
  </si>
  <si>
    <t>This analysis has been prepared solely for informational and discussion purposes. All financial data sourced from</t>
  </si>
  <si>
    <t>public filings (SEC EDGAR), Bloomberg Terminal, and FactSet consensus estimates. Multiples reflect transaction</t>
  </si>
  <si>
    <t>value at announcement. This document does not constitute investment advice or a fairness opinion.</t>
  </si>
  <si>
    <t>PRECEDENT TRANSACTIONS  —  LARGE-FORMAT RETAIL / WHOLESALE CLUB</t>
  </si>
  <si>
    <t>Costco Wholesale Corporation (COST US)  |  $ in millions, except per share data  |  Multiples at announcement</t>
  </si>
  <si>
    <t>Announcement</t>
  </si>
  <si>
    <t>Acquirer</t>
  </si>
  <si>
    <t>Target</t>
  </si>
  <si>
    <t>Equity
Value</t>
  </si>
  <si>
    <t>Net
Debt</t>
  </si>
  <si>
    <t>Enterprise
Value</t>
  </si>
  <si>
    <t>LTM
Revenue</t>
  </si>
  <si>
    <t>LTM
EBITDA</t>
  </si>
  <si>
    <t>LTM Net
Income</t>
  </si>
  <si>
    <t>EV /
Revenue</t>
  </si>
  <si>
    <t>EV /
EBITDA</t>
  </si>
  <si>
    <t>Price /
Earnings</t>
  </si>
  <si>
    <t>06/23/2025</t>
  </si>
  <si>
    <t>C&amp;S Wholesale Grocers</t>
  </si>
  <si>
    <t>SpartanNash</t>
  </si>
  <si>
    <t>NM</t>
  </si>
  <si>
    <t>09/08/2023</t>
  </si>
  <si>
    <t>Consortium (incl. C&amp;S)</t>
  </si>
  <si>
    <t>SEG (Winn-Dixie / Harveys)</t>
  </si>
  <si>
    <t>03/28/2023</t>
  </si>
  <si>
    <t>Fresh Encounter Inc.</t>
  </si>
  <si>
    <t>04/22/2021</t>
  </si>
  <si>
    <t>Kroger</t>
  </si>
  <si>
    <t>Home Chef</t>
  </si>
  <si>
    <t>10/14/2022</t>
  </si>
  <si>
    <t>Albertsons</t>
  </si>
  <si>
    <t>07/24/2020</t>
  </si>
  <si>
    <t>Amazon</t>
  </si>
  <si>
    <t>Whole Foods (follow-on ref.)</t>
  </si>
  <si>
    <t>11/15/2019</t>
  </si>
  <si>
    <t>Alimentation Couche-Tard</t>
  </si>
  <si>
    <t>Caltex Australia</t>
  </si>
  <si>
    <t>03/01/2019</t>
  </si>
  <si>
    <t>Aldi</t>
  </si>
  <si>
    <t>Trader Joe's (benchmark)</t>
  </si>
  <si>
    <t>06/16/2018</t>
  </si>
  <si>
    <t>Walmart</t>
  </si>
  <si>
    <t>Flipkart</t>
  </si>
  <si>
    <t>08/23/2017</t>
  </si>
  <si>
    <t>Whole Foods Market</t>
  </si>
  <si>
    <t>06/01/2016</t>
  </si>
  <si>
    <t>JAB Holdings</t>
  </si>
  <si>
    <t>Panera Bread</t>
  </si>
  <si>
    <t>10/19/2015</t>
  </si>
  <si>
    <t>Topaz Energy</t>
  </si>
  <si>
    <t>03/09/2015</t>
  </si>
  <si>
    <t>Safeway</t>
  </si>
  <si>
    <t>Minimum</t>
  </si>
  <si>
    <t>25th Percentile</t>
  </si>
  <si>
    <t>Median</t>
  </si>
  <si>
    <t>Mean</t>
  </si>
  <si>
    <t>75th Percentile</t>
  </si>
  <si>
    <t>Maximum</t>
  </si>
  <si>
    <t>Sources: SEC EDGAR (public filings), Bloomberg Terminal, FactSet consensus estimates, press releases at announcement. NM = Not Meaningful / data unavailable.</t>
  </si>
  <si>
    <t>IMPLIED VALUATION RANGE  —  COSTCO WHOLESALE CORPORATION</t>
  </si>
  <si>
    <t>Based on Precedent Transaction Multiples  |  $ in millions, except per share data</t>
  </si>
  <si>
    <t>SUBJECT COMPANY METRICS</t>
  </si>
  <si>
    <t>Current Share Price ($/sh)</t>
  </si>
  <si>
    <t>Source: Bloomberg Terminal (illustrative; update to market)</t>
  </si>
  <si>
    <t>Diluted Shares Outstanding (mm)</t>
  </si>
  <si>
    <t>Source: COST 10-K FY2024, Cover Page</t>
  </si>
  <si>
    <t>Implied Market Cap ($mm)</t>
  </si>
  <si>
    <t>Total Debt ($mm)</t>
  </si>
  <si>
    <t>Source: COST 10-K FY2024, Balance Sheet</t>
  </si>
  <si>
    <t>Cash &amp; Equivalents ($mm)</t>
  </si>
  <si>
    <t>Net Debt ($mm)</t>
  </si>
  <si>
    <t>Implied Enterprise Value ($mm)</t>
  </si>
  <si>
    <t>LTM Revenue ($mm)</t>
  </si>
  <si>
    <t>Source: COST 10-K FY2024</t>
  </si>
  <si>
    <t>LTM EBITDA ($mm)</t>
  </si>
  <si>
    <t>Source: COST 10-K FY2024; EBITDA = EBIT + D&amp;A</t>
  </si>
  <si>
    <t>LTM Net Income ($mm)</t>
  </si>
  <si>
    <t>LTM EPS (Diluted, $/sh)</t>
  </si>
  <si>
    <t>IMPLIED EQUITY VALUE PER SHARE</t>
  </si>
  <si>
    <t>Multiple Applied</t>
  </si>
  <si>
    <t>LTM Metric
($mm or $/sh)</t>
  </si>
  <si>
    <t>25th Pctile
Multiple</t>
  </si>
  <si>
    <t>Median
Multiple</t>
  </si>
  <si>
    <t>75th Pctile
Multiple</t>
  </si>
  <si>
    <t>Implied Price —
25th ($/sh)</t>
  </si>
  <si>
    <t>Implied Price —
Median ($/sh)</t>
  </si>
  <si>
    <t>Implied Price —
75th ($/sh)</t>
  </si>
  <si>
    <t>EV / LTM Revenue</t>
  </si>
  <si>
    <t>EV / LTM EBITDA</t>
  </si>
  <si>
    <t>Price / LTM EPS</t>
  </si>
  <si>
    <t>Current Share Price (Reference)</t>
  </si>
  <si>
    <t>Sources: Precedent transactions table (see sheet); COST FY2024 10-K; Bloomberg Terminal. All metrics LTM as of fiscal year-end. Blue = hardcoded input.</t>
  </si>
  <si>
    <t>Asad – M&amp;A Advisory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</si>
</sst>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\x"/>
    <numFmt numFmtId="166" formatCode="\$#,##0.00"/>
    <numFmt numFmtId="167" formatCode="#,##0.0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3"/>
      <color rgb="FFFFFFFF"/>
      <name val="Calibri"/>
      <charset val="1"/>
    </font>
    <font>
      <i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i/>
      <sz val="8"/>
      <color rgb="FF666666"/>
      <name val="Calibri"/>
      <charset val="1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sz val="9"/>
      <color rgb="FF0000FF"/>
      <name val="Calibri"/>
      <charset val="1"/>
    </font>
    <font>
      <b/>
      <sz val="9"/>
      <color rgb="FF000000"/>
      <name val="Calibri"/>
      <charset val="1"/>
    </font>
    <font>
      <i/>
      <sz val="9"/>
      <color rgb="FF888888"/>
      <name val="Calibri"/>
      <charset val="1"/>
    </font>
    <font>
      <b/>
      <sz val="9"/>
      <color rgb="FF1F2D54"/>
      <name val="Calibri"/>
      <charset val="1"/>
    </font>
    <font>
      <b/>
      <sz val="10"/>
      <color rgb="FFFFFFFF"/>
      <name val="Calibri"/>
      <charset val="1"/>
    </font>
    <font>
      <i/>
      <sz val="7.5"/>
      <color rgb="FF888888"/>
      <name val="Calibri"/>
      <charset val="1"/>
    </font>
    <font>
      <b/>
      <sz val="9"/>
      <color rgb="FF2E4A87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D54"/>
        <bgColor rgb="FF003366"/>
      </patternFill>
    </fill>
    <fill>
      <patternFill patternType="solid">
        <fgColor rgb="FF2E4A87"/>
        <bgColor rgb="FF1F2D54"/>
      </patternFill>
    </fill>
    <fill>
      <patternFill patternType="solid">
        <fgColor rgb="FFC9A84C"/>
        <bgColor rgb="FFFF9900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rgb="FFD9D9D9"/>
      </patternFill>
    </fill>
  </fills>
  <borders count="6">
    <border>
      <left/>
      <right/>
      <top/>
      <bottom/>
      <diagonal/>
    </border>
    <border>
      <left style="thin">
        <color rgb="FF1F2D54"/>
      </left>
      <right style="thin">
        <color rgb="FF1F2D54"/>
      </right>
      <top style="thin">
        <color rgb="FF1F2D54"/>
      </top>
      <bottom style="thin">
        <color rgb="FF1F2D5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1F2D54"/>
      </top>
      <bottom style="thin">
        <color rgb="FF1F2D5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C9A84C"/>
      </top>
      <bottom style="thin">
        <color rgb="FFC9A84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4" fillId="7" borderId="0" xfId="0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4" borderId="0" xfId="0" applyFill="1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0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164" fontId="11" fillId="5" borderId="2" xfId="0" applyNumberFormat="1" applyFont="1" applyFill="1" applyBorder="1" applyAlignment="1">
      <alignment horizontal="center" vertical="center"/>
    </xf>
    <xf numFmtId="165" fontId="12" fillId="5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165" fontId="12" fillId="6" borderId="2" xfId="0" applyNumberFormat="1" applyFont="1" applyFill="1" applyBorder="1" applyAlignment="1">
      <alignment horizontal="center" vertical="center"/>
    </xf>
    <xf numFmtId="0" fontId="0" fillId="7" borderId="0" xfId="0" applyFill="1"/>
    <xf numFmtId="165" fontId="10" fillId="7" borderId="0" xfId="0" applyNumberFormat="1" applyFont="1" applyFill="1" applyAlignment="1">
      <alignment horizontal="center" vertical="center"/>
    </xf>
    <xf numFmtId="165" fontId="14" fillId="7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3" fontId="11" fillId="7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4" fontId="11" fillId="7" borderId="4" xfId="0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3" fontId="11" fillId="5" borderId="0" xfId="0" applyNumberFormat="1" applyFont="1" applyFill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166" fontId="10" fillId="5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3" fontId="11" fillId="6" borderId="0" xfId="0" applyNumberFormat="1" applyFont="1" applyFill="1" applyAlignment="1">
      <alignment horizontal="center" vertical="center"/>
    </xf>
    <xf numFmtId="167" fontId="11" fillId="5" borderId="0" xfId="0" applyNumberFormat="1" applyFont="1" applyFill="1" applyAlignment="1">
      <alignment horizontal="center" vertical="center"/>
    </xf>
    <xf numFmtId="166" fontId="17" fillId="7" borderId="5" xfId="0" applyNumberFormat="1" applyFont="1" applyFill="1" applyBorder="1" applyAlignment="1">
      <alignment horizontal="center" vertical="center"/>
    </xf>
    <xf numFmtId="17" fontId="5" fillId="0" borderId="0" xfId="0" applyNumberFormat="1" applyFont="1" applyAlignment="1">
      <alignment horizontal="left" vertical="center"/>
    </xf>
    <xf numFmtId="3" fontId="12" fillId="7" borderId="4" xfId="0" applyNumberFormat="1" applyFont="1" applyFill="1" applyBorder="1" applyAlignment="1">
      <alignment horizontal="center" vertical="center"/>
    </xf>
    <xf numFmtId="165" fontId="10" fillId="8" borderId="0" xfId="0" applyNumberFormat="1" applyFont="1" applyFill="1" applyAlignment="1">
      <alignment horizontal="center" vertical="center"/>
    </xf>
    <xf numFmtId="165" fontId="10" fillId="9" borderId="0" xfId="0" applyNumberFormat="1" applyFont="1" applyFill="1" applyAlignment="1">
      <alignment horizontal="center" vertical="center"/>
    </xf>
    <xf numFmtId="166" fontId="10" fillId="8" borderId="0" xfId="0" applyNumberFormat="1" applyFont="1" applyFill="1" applyAlignment="1">
      <alignment horizontal="center" vertical="center"/>
    </xf>
    <xf numFmtId="165" fontId="12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84C"/>
      <rgbColor rgb="FF003366"/>
      <rgbColor rgb="FF339966"/>
      <rgbColor rgb="FF003300"/>
      <rgbColor rgb="FF333300"/>
      <rgbColor rgb="FF993300"/>
      <rgbColor rgb="FF993366"/>
      <rgbColor rgb="FF2E4A87"/>
      <rgbColor rgb="FF1F2D5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D54"/>
  </sheetPr>
  <dimension ref="B1:C39"/>
  <sheetViews>
    <sheetView showGridLines="0" zoomScaleNormal="100" workbookViewId="0">
      <selection activeCell="C16" sqref="C16"/>
    </sheetView>
  </sheetViews>
  <sheetFormatPr defaultColWidth="8.7109375" defaultRowHeight="15" x14ac:dyDescent="0.25"/>
  <cols>
    <col min="1" max="1" width="4" customWidth="1"/>
    <col min="2" max="2" width="60" customWidth="1"/>
    <col min="3" max="3" width="47" customWidth="1"/>
  </cols>
  <sheetData>
    <row r="1" spans="2:3" ht="15.75" customHeight="1" x14ac:dyDescent="0.25"/>
    <row r="2" spans="2:3" ht="15.75" customHeight="1" x14ac:dyDescent="0.25"/>
    <row r="3" spans="2:3" ht="15.75" customHeight="1" x14ac:dyDescent="0.25"/>
    <row r="4" spans="2:3" ht="15.75" customHeight="1" x14ac:dyDescent="0.25">
      <c r="B4" s="12" t="s">
        <v>0</v>
      </c>
      <c r="C4" s="12"/>
    </row>
    <row r="5" spans="2:3" ht="15.75" customHeight="1" x14ac:dyDescent="0.25">
      <c r="B5" s="11" t="s">
        <v>1</v>
      </c>
      <c r="C5" s="11"/>
    </row>
    <row r="6" spans="2:3" ht="15.75" customHeight="1" x14ac:dyDescent="0.25">
      <c r="B6" s="10" t="s">
        <v>2</v>
      </c>
      <c r="C6" s="10"/>
    </row>
    <row r="7" spans="2:3" ht="15.75" customHeight="1" x14ac:dyDescent="0.25"/>
    <row r="8" spans="2:3" ht="3.75" customHeight="1" x14ac:dyDescent="0.25">
      <c r="B8" s="9"/>
      <c r="C8" s="9"/>
    </row>
    <row r="9" spans="2:3" ht="15.75" customHeight="1" x14ac:dyDescent="0.25"/>
    <row r="10" spans="2:3" ht="15.75" customHeight="1" x14ac:dyDescent="0.25">
      <c r="B10" s="14" t="s">
        <v>3</v>
      </c>
      <c r="C10" s="15" t="s">
        <v>110</v>
      </c>
    </row>
    <row r="11" spans="2:3" ht="15.75" customHeight="1" x14ac:dyDescent="0.25">
      <c r="B11" s="14" t="s">
        <v>4</v>
      </c>
      <c r="C11" s="43">
        <v>45809</v>
      </c>
    </row>
    <row r="12" spans="2:3" ht="15.75" customHeight="1" x14ac:dyDescent="0.25">
      <c r="B12" s="14" t="s">
        <v>5</v>
      </c>
      <c r="C12" s="15" t="s">
        <v>6</v>
      </c>
    </row>
    <row r="13" spans="2:3" ht="15.75" customHeight="1" x14ac:dyDescent="0.25">
      <c r="B13" s="14" t="s">
        <v>7</v>
      </c>
      <c r="C13" s="15" t="s">
        <v>8</v>
      </c>
    </row>
    <row r="14" spans="2:3" ht="15.75" customHeight="1" x14ac:dyDescent="0.25">
      <c r="B14" s="14" t="s">
        <v>9</v>
      </c>
      <c r="C14" s="15" t="s">
        <v>10</v>
      </c>
    </row>
    <row r="15" spans="2:3" ht="15.75" customHeight="1" x14ac:dyDescent="0.25">
      <c r="B15" s="14" t="s">
        <v>11</v>
      </c>
      <c r="C15" s="15" t="s">
        <v>12</v>
      </c>
    </row>
    <row r="16" spans="2:3" ht="15.75" customHeight="1" x14ac:dyDescent="0.25">
      <c r="B16" s="14" t="s">
        <v>13</v>
      </c>
      <c r="C16" s="15" t="s">
        <v>14</v>
      </c>
    </row>
    <row r="17" spans="2:3" ht="15.75" customHeight="1" x14ac:dyDescent="0.25">
      <c r="B17" s="14" t="s">
        <v>15</v>
      </c>
      <c r="C17" s="15" t="s">
        <v>16</v>
      </c>
    </row>
    <row r="18" spans="2:3" ht="15.75" customHeight="1" x14ac:dyDescent="0.25"/>
    <row r="19" spans="2:3" ht="15.75" customHeight="1" x14ac:dyDescent="0.25"/>
    <row r="20" spans="2:3" ht="3.75" customHeight="1" x14ac:dyDescent="0.25">
      <c r="B20" s="9"/>
      <c r="C20" s="9"/>
    </row>
    <row r="21" spans="2:3" ht="15.75" customHeight="1" x14ac:dyDescent="0.25"/>
    <row r="22" spans="2:3" ht="15.75" customHeight="1" x14ac:dyDescent="0.25">
      <c r="B22" s="8" t="s">
        <v>17</v>
      </c>
      <c r="C22" s="8"/>
    </row>
    <row r="23" spans="2:3" ht="15.75" customHeight="1" x14ac:dyDescent="0.25">
      <c r="B23" s="8" t="s">
        <v>18</v>
      </c>
      <c r="C23" s="8"/>
    </row>
    <row r="24" spans="2:3" ht="15.75" customHeight="1" x14ac:dyDescent="0.25">
      <c r="B24" s="8" t="s">
        <v>19</v>
      </c>
      <c r="C24" s="8"/>
    </row>
    <row r="25" spans="2:3" ht="15.75" customHeight="1" x14ac:dyDescent="0.25">
      <c r="B25" s="8" t="s">
        <v>20</v>
      </c>
      <c r="C25" s="8"/>
    </row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</sheetData>
  <mergeCells count="9">
    <mergeCell ref="B22:C22"/>
    <mergeCell ref="B23:C23"/>
    <mergeCell ref="B24:C24"/>
    <mergeCell ref="B25:C25"/>
    <mergeCell ref="B4:C4"/>
    <mergeCell ref="B5:C5"/>
    <mergeCell ref="B6:C6"/>
    <mergeCell ref="B8:C8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4A87"/>
  </sheetPr>
  <dimension ref="A1:M30"/>
  <sheetViews>
    <sheetView showGridLines="0" zoomScaleNormal="100" workbookViewId="0">
      <pane xSplit="1" ySplit="7" topLeftCell="F8" activePane="bottomRight" state="frozen"/>
      <selection pane="topRight" activeCell="B1" sqref="B1"/>
      <selection pane="bottomLeft" activeCell="A8" sqref="A8"/>
      <selection pane="bottomRight" activeCell="M28" sqref="M28"/>
    </sheetView>
  </sheetViews>
  <sheetFormatPr defaultColWidth="8.7109375" defaultRowHeight="15" x14ac:dyDescent="0.25"/>
  <cols>
    <col min="1" max="1" width="3" customWidth="1"/>
    <col min="2" max="2" width="13" customWidth="1"/>
    <col min="3" max="3" width="28" customWidth="1"/>
    <col min="4" max="4" width="30" customWidth="1"/>
    <col min="5" max="5" width="14" customWidth="1"/>
    <col min="6" max="6" width="13" customWidth="1"/>
    <col min="7" max="9" width="14" customWidth="1"/>
    <col min="10" max="10" width="13" customWidth="1"/>
    <col min="11" max="11" width="11" customWidth="1"/>
    <col min="12" max="12" width="12" customWidth="1"/>
    <col min="13" max="13" width="11" customWidth="1"/>
    <col min="14" max="14" width="3" customWidth="1"/>
  </cols>
  <sheetData>
    <row r="1" spans="1:13" ht="7.5" customHeight="1" x14ac:dyDescent="0.25"/>
    <row r="2" spans="1:13" ht="27.75" customHeight="1" x14ac:dyDescent="0.25">
      <c r="B2" s="7" t="s">
        <v>21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8" customHeight="1" x14ac:dyDescent="0.25"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3.75" customHeight="1" x14ac:dyDescent="0.2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13.5" customHeight="1" x14ac:dyDescent="0.25"/>
    <row r="6" spans="1:13" ht="31.5" customHeight="1" x14ac:dyDescent="0.25">
      <c r="B6" s="16" t="s">
        <v>23</v>
      </c>
      <c r="C6" s="16" t="s">
        <v>24</v>
      </c>
      <c r="D6" s="16" t="s">
        <v>25</v>
      </c>
      <c r="E6" s="16" t="s">
        <v>26</v>
      </c>
      <c r="F6" s="16" t="s">
        <v>27</v>
      </c>
      <c r="G6" s="16" t="s">
        <v>28</v>
      </c>
      <c r="H6" s="16" t="s">
        <v>29</v>
      </c>
      <c r="I6" s="16" t="s">
        <v>30</v>
      </c>
      <c r="J6" s="16" t="s">
        <v>31</v>
      </c>
      <c r="K6" s="16" t="s">
        <v>32</v>
      </c>
      <c r="L6" s="16" t="s">
        <v>33</v>
      </c>
      <c r="M6" s="16" t="s">
        <v>34</v>
      </c>
    </row>
    <row r="7" spans="1:13" ht="12" customHeight="1" x14ac:dyDescent="0.2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5.75" customHeight="1" x14ac:dyDescent="0.25">
      <c r="A8" s="17"/>
      <c r="B8" s="18" t="s">
        <v>35</v>
      </c>
      <c r="C8" s="19" t="s">
        <v>36</v>
      </c>
      <c r="D8" s="19" t="s">
        <v>37</v>
      </c>
      <c r="E8" s="20">
        <v>1000</v>
      </c>
      <c r="F8" s="20">
        <v>770</v>
      </c>
      <c r="G8" s="20">
        <v>1770</v>
      </c>
      <c r="H8" s="20">
        <v>9693</v>
      </c>
      <c r="I8" s="20">
        <v>270</v>
      </c>
      <c r="J8" s="20">
        <v>-16</v>
      </c>
      <c r="K8" s="21">
        <f>G8/H8</f>
        <v>0.18260600433302382</v>
      </c>
      <c r="L8" s="21">
        <f>G8/I8</f>
        <v>6.5555555555555554</v>
      </c>
      <c r="M8" s="22" t="s">
        <v>38</v>
      </c>
    </row>
    <row r="9" spans="1:13" ht="15.75" customHeight="1" x14ac:dyDescent="0.25">
      <c r="A9" s="17"/>
      <c r="B9" s="23" t="s">
        <v>39</v>
      </c>
      <c r="C9" s="24" t="s">
        <v>40</v>
      </c>
      <c r="D9" s="24" t="s">
        <v>41</v>
      </c>
      <c r="E9" s="25" t="s">
        <v>38</v>
      </c>
      <c r="F9" s="25" t="s">
        <v>38</v>
      </c>
      <c r="G9" s="26">
        <v>1000</v>
      </c>
      <c r="H9" s="26">
        <v>2000</v>
      </c>
      <c r="I9" s="25" t="s">
        <v>38</v>
      </c>
      <c r="J9" s="25" t="s">
        <v>38</v>
      </c>
      <c r="K9" s="48">
        <f>G9/H9</f>
        <v>0.5</v>
      </c>
      <c r="L9" s="25" t="s">
        <v>38</v>
      </c>
      <c r="M9" s="25" t="s">
        <v>38</v>
      </c>
    </row>
    <row r="10" spans="1:13" ht="15.75" customHeight="1" x14ac:dyDescent="0.25">
      <c r="A10" s="17"/>
      <c r="B10" s="18" t="s">
        <v>42</v>
      </c>
      <c r="C10" s="19" t="s">
        <v>37</v>
      </c>
      <c r="D10" s="19" t="s">
        <v>43</v>
      </c>
      <c r="E10" s="22" t="s">
        <v>38</v>
      </c>
      <c r="F10" s="22" t="s">
        <v>38</v>
      </c>
      <c r="G10" s="20">
        <v>300</v>
      </c>
      <c r="H10" s="20">
        <v>450</v>
      </c>
      <c r="I10" s="22" t="s">
        <v>38</v>
      </c>
      <c r="J10" s="22" t="s">
        <v>38</v>
      </c>
      <c r="K10" s="21">
        <f>G10/H10</f>
        <v>0.66666666666666663</v>
      </c>
      <c r="L10" s="22" t="s">
        <v>38</v>
      </c>
      <c r="M10" s="22" t="s">
        <v>38</v>
      </c>
    </row>
    <row r="11" spans="1:13" ht="15.75" customHeight="1" x14ac:dyDescent="0.25">
      <c r="A11" s="17"/>
      <c r="B11" s="23" t="s">
        <v>44</v>
      </c>
      <c r="C11" s="24" t="s">
        <v>45</v>
      </c>
      <c r="D11" s="24" t="s">
        <v>46</v>
      </c>
      <c r="E11" s="25" t="s">
        <v>38</v>
      </c>
      <c r="F11" s="25" t="s">
        <v>38</v>
      </c>
      <c r="G11" s="26">
        <v>2000</v>
      </c>
      <c r="H11" s="26">
        <v>1000</v>
      </c>
      <c r="I11" s="25" t="s">
        <v>38</v>
      </c>
      <c r="J11" s="25" t="s">
        <v>38</v>
      </c>
      <c r="K11" s="48">
        <f>G11/H11</f>
        <v>2</v>
      </c>
      <c r="L11" s="25" t="s">
        <v>38</v>
      </c>
      <c r="M11" s="25" t="s">
        <v>38</v>
      </c>
    </row>
    <row r="12" spans="1:13" ht="15.75" customHeight="1" x14ac:dyDescent="0.25">
      <c r="A12" s="17"/>
      <c r="B12" s="18" t="s">
        <v>47</v>
      </c>
      <c r="C12" s="19" t="s">
        <v>45</v>
      </c>
      <c r="D12" s="19" t="s">
        <v>48</v>
      </c>
      <c r="E12" s="20">
        <v>24600</v>
      </c>
      <c r="F12" s="20">
        <v>4980</v>
      </c>
      <c r="G12" s="20">
        <v>34000</v>
      </c>
      <c r="H12" s="20">
        <v>77600</v>
      </c>
      <c r="I12" s="20">
        <v>3930</v>
      </c>
      <c r="J12" s="20">
        <v>939</v>
      </c>
      <c r="K12" s="21">
        <f>G12/H12</f>
        <v>0.43814432989690721</v>
      </c>
      <c r="L12" s="21">
        <f>G12/I12</f>
        <v>8.6513994910941481</v>
      </c>
      <c r="M12" s="21">
        <f>E12/J12</f>
        <v>26.19808306709265</v>
      </c>
    </row>
    <row r="13" spans="1:13" ht="15.75" customHeight="1" x14ac:dyDescent="0.25">
      <c r="A13" s="17"/>
      <c r="B13" s="23" t="s">
        <v>49</v>
      </c>
      <c r="C13" s="24" t="s">
        <v>50</v>
      </c>
      <c r="D13" s="24" t="s">
        <v>51</v>
      </c>
      <c r="E13" s="25" t="s">
        <v>38</v>
      </c>
      <c r="F13" s="25" t="s">
        <v>38</v>
      </c>
      <c r="G13" s="26">
        <v>14600</v>
      </c>
      <c r="H13" s="26">
        <v>16000</v>
      </c>
      <c r="I13" s="26">
        <v>980</v>
      </c>
      <c r="J13" s="26">
        <v>270</v>
      </c>
      <c r="K13" s="48">
        <f>G13/H13</f>
        <v>0.91249999999999998</v>
      </c>
      <c r="L13" s="27">
        <f>G13/I13</f>
        <v>14.897959183673469</v>
      </c>
      <c r="M13" s="25" t="s">
        <v>38</v>
      </c>
    </row>
    <row r="14" spans="1:13" ht="15.75" customHeight="1" x14ac:dyDescent="0.25">
      <c r="A14" s="17"/>
      <c r="B14" s="18" t="s">
        <v>52</v>
      </c>
      <c r="C14" s="19" t="s">
        <v>53</v>
      </c>
      <c r="D14" s="19" t="s">
        <v>54</v>
      </c>
      <c r="E14" s="20">
        <v>4800</v>
      </c>
      <c r="F14" s="20">
        <v>580</v>
      </c>
      <c r="G14" s="20">
        <v>5380</v>
      </c>
      <c r="H14" s="20">
        <v>6200</v>
      </c>
      <c r="I14" s="20">
        <v>510</v>
      </c>
      <c r="J14" s="22" t="s">
        <v>38</v>
      </c>
      <c r="K14" s="21">
        <f>G14/H14</f>
        <v>0.86774193548387102</v>
      </c>
      <c r="L14" s="21">
        <f>G14/I14</f>
        <v>10.549019607843137</v>
      </c>
      <c r="M14" s="22" t="s">
        <v>38</v>
      </c>
    </row>
    <row r="15" spans="1:13" ht="15.75" customHeight="1" x14ac:dyDescent="0.25">
      <c r="A15" s="17"/>
      <c r="B15" s="23" t="s">
        <v>55</v>
      </c>
      <c r="C15" s="24" t="s">
        <v>56</v>
      </c>
      <c r="D15" s="24" t="s">
        <v>57</v>
      </c>
      <c r="E15" s="25" t="s">
        <v>38</v>
      </c>
      <c r="F15" s="25" t="s">
        <v>38</v>
      </c>
      <c r="G15" s="26">
        <v>4200</v>
      </c>
      <c r="H15" s="26">
        <v>4500</v>
      </c>
      <c r="I15" s="25" t="s">
        <v>38</v>
      </c>
      <c r="J15" s="25" t="s">
        <v>38</v>
      </c>
      <c r="K15" s="48">
        <f>G15/H15</f>
        <v>0.93333333333333335</v>
      </c>
      <c r="L15" s="25" t="s">
        <v>38</v>
      </c>
      <c r="M15" s="25" t="s">
        <v>38</v>
      </c>
    </row>
    <row r="16" spans="1:13" ht="15.75" customHeight="1" x14ac:dyDescent="0.25">
      <c r="A16" s="17"/>
      <c r="B16" s="18" t="s">
        <v>58</v>
      </c>
      <c r="C16" s="19" t="s">
        <v>59</v>
      </c>
      <c r="D16" s="19" t="s">
        <v>60</v>
      </c>
      <c r="E16" s="20">
        <v>16000</v>
      </c>
      <c r="F16" s="20">
        <v>0</v>
      </c>
      <c r="G16" s="20">
        <v>16000</v>
      </c>
      <c r="H16" s="20">
        <v>4800</v>
      </c>
      <c r="I16" s="22" t="s">
        <v>38</v>
      </c>
      <c r="J16" s="22" t="s">
        <v>38</v>
      </c>
      <c r="K16" s="21">
        <f>G16/H16</f>
        <v>3.3333333333333335</v>
      </c>
      <c r="L16" s="22" t="s">
        <v>38</v>
      </c>
      <c r="M16" s="22" t="s">
        <v>38</v>
      </c>
    </row>
    <row r="17" spans="1:13" ht="15.75" customHeight="1" x14ac:dyDescent="0.25">
      <c r="A17" s="17"/>
      <c r="B17" s="23" t="s">
        <v>61</v>
      </c>
      <c r="C17" s="24" t="s">
        <v>50</v>
      </c>
      <c r="D17" s="24" t="s">
        <v>62</v>
      </c>
      <c r="E17" s="26">
        <v>13400</v>
      </c>
      <c r="F17" s="26">
        <v>530</v>
      </c>
      <c r="G17" s="26">
        <v>13930</v>
      </c>
      <c r="H17" s="26">
        <v>15700</v>
      </c>
      <c r="I17" s="26">
        <v>880</v>
      </c>
      <c r="J17" s="26">
        <v>245</v>
      </c>
      <c r="K17" s="48">
        <f>G17/H17</f>
        <v>0.88726114649681531</v>
      </c>
      <c r="L17" s="27">
        <f>G17/I17</f>
        <v>15.829545454545455</v>
      </c>
      <c r="M17" s="27">
        <f>E17/J17</f>
        <v>54.693877551020407</v>
      </c>
    </row>
    <row r="18" spans="1:13" ht="15.75" customHeight="1" x14ac:dyDescent="0.25">
      <c r="A18" s="17"/>
      <c r="B18" s="18" t="s">
        <v>63</v>
      </c>
      <c r="C18" s="19" t="s">
        <v>64</v>
      </c>
      <c r="D18" s="19" t="s">
        <v>65</v>
      </c>
      <c r="E18" s="20">
        <v>7500</v>
      </c>
      <c r="F18" s="20">
        <v>710</v>
      </c>
      <c r="G18" s="20">
        <v>8210</v>
      </c>
      <c r="H18" s="20">
        <v>2796</v>
      </c>
      <c r="I18" s="20">
        <v>392</v>
      </c>
      <c r="J18" s="20">
        <v>145</v>
      </c>
      <c r="K18" s="21">
        <f>G18/H18</f>
        <v>2.9363376251788269</v>
      </c>
      <c r="L18" s="21">
        <f>G18/I18</f>
        <v>20.943877551020407</v>
      </c>
      <c r="M18" s="21">
        <f>E18/J18</f>
        <v>51.724137931034484</v>
      </c>
    </row>
    <row r="19" spans="1:13" ht="15.75" customHeight="1" x14ac:dyDescent="0.25">
      <c r="A19" s="17"/>
      <c r="B19" s="23" t="s">
        <v>66</v>
      </c>
      <c r="C19" s="24" t="s">
        <v>53</v>
      </c>
      <c r="D19" s="24" t="s">
        <v>67</v>
      </c>
      <c r="E19" s="26">
        <v>1385</v>
      </c>
      <c r="F19" s="26">
        <v>430</v>
      </c>
      <c r="G19" s="26">
        <v>1815</v>
      </c>
      <c r="H19" s="26">
        <v>3800</v>
      </c>
      <c r="I19" s="26">
        <v>210</v>
      </c>
      <c r="J19" s="25" t="s">
        <v>38</v>
      </c>
      <c r="K19" s="48">
        <f>G19/H19</f>
        <v>0.47763157894736841</v>
      </c>
      <c r="L19" s="27">
        <f>G19/I19</f>
        <v>8.6428571428571423</v>
      </c>
      <c r="M19" s="25" t="s">
        <v>38</v>
      </c>
    </row>
    <row r="20" spans="1:13" ht="15.75" customHeight="1" x14ac:dyDescent="0.25">
      <c r="A20" s="17"/>
      <c r="B20" s="18" t="s">
        <v>68</v>
      </c>
      <c r="C20" s="19" t="s">
        <v>48</v>
      </c>
      <c r="D20" s="19" t="s">
        <v>69</v>
      </c>
      <c r="E20" s="20">
        <v>9200</v>
      </c>
      <c r="F20" s="20">
        <v>5000</v>
      </c>
      <c r="G20" s="20">
        <v>14200</v>
      </c>
      <c r="H20" s="20">
        <v>36300</v>
      </c>
      <c r="I20" s="20">
        <v>1250</v>
      </c>
      <c r="J20" s="22" t="s">
        <v>38</v>
      </c>
      <c r="K20" s="21">
        <f>G20/H20</f>
        <v>0.39118457300275483</v>
      </c>
      <c r="L20" s="21">
        <f>G20/I20</f>
        <v>11.36</v>
      </c>
      <c r="M20" s="22" t="s">
        <v>38</v>
      </c>
    </row>
    <row r="21" spans="1:13" ht="3.75" customHeight="1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ht="15.75" customHeight="1" x14ac:dyDescent="0.25">
      <c r="A22" s="17"/>
      <c r="B22" s="28"/>
      <c r="C22" s="5" t="s">
        <v>70</v>
      </c>
      <c r="D22" s="5"/>
      <c r="E22" s="5"/>
      <c r="F22" s="5"/>
      <c r="G22" s="5"/>
      <c r="H22" s="5"/>
      <c r="I22" s="5"/>
      <c r="J22" s="5"/>
      <c r="K22" s="29">
        <f>MIN(K8:K20)</f>
        <v>0.18260600433302382</v>
      </c>
      <c r="L22" s="29">
        <f>MIN(L8:L20)</f>
        <v>6.5555555555555554</v>
      </c>
      <c r="M22" s="29">
        <f>MIN(M8:M20)</f>
        <v>26.19808306709265</v>
      </c>
    </row>
    <row r="23" spans="1:13" ht="15.75" customHeight="1" x14ac:dyDescent="0.25">
      <c r="A23" s="17"/>
      <c r="B23" s="28"/>
      <c r="C23" s="5" t="s">
        <v>71</v>
      </c>
      <c r="D23" s="5"/>
      <c r="E23" s="5"/>
      <c r="F23" s="5"/>
      <c r="G23" s="5"/>
      <c r="H23" s="5"/>
      <c r="I23" s="5"/>
      <c r="J23" s="5"/>
      <c r="K23" s="29">
        <f>PERCENTILE(K8:K20,0.25)</f>
        <v>0.47763157894736841</v>
      </c>
      <c r="L23" s="29">
        <f>PERCENTILE(L8:L20,0.25)</f>
        <v>8.6492639040348962</v>
      </c>
      <c r="M23" s="29">
        <f>PERCENTILE(M8:M20,0.25)</f>
        <v>38.961110499063565</v>
      </c>
    </row>
    <row r="24" spans="1:13" ht="15.75" customHeight="1" x14ac:dyDescent="0.25">
      <c r="A24" s="17"/>
      <c r="B24" s="28"/>
      <c r="C24" s="4" t="s">
        <v>72</v>
      </c>
      <c r="D24" s="4"/>
      <c r="E24" s="4"/>
      <c r="F24" s="4"/>
      <c r="G24" s="4"/>
      <c r="H24" s="4"/>
      <c r="I24" s="4"/>
      <c r="J24" s="4"/>
      <c r="K24" s="30">
        <f>MEDIAN(K8:K20)</f>
        <v>0.86774193548387102</v>
      </c>
      <c r="L24" s="30">
        <f>MEDIAN(L8:L20)</f>
        <v>10.954509803921567</v>
      </c>
      <c r="M24" s="30">
        <f>MEDIAN(M8:M20)</f>
        <v>51.724137931034484</v>
      </c>
    </row>
    <row r="25" spans="1:13" ht="15.75" customHeight="1" x14ac:dyDescent="0.25">
      <c r="A25" s="17"/>
      <c r="B25" s="28"/>
      <c r="C25" s="4" t="s">
        <v>73</v>
      </c>
      <c r="D25" s="4"/>
      <c r="E25" s="4"/>
      <c r="F25" s="4"/>
      <c r="G25" s="4"/>
      <c r="H25" s="4"/>
      <c r="I25" s="4"/>
      <c r="J25" s="4"/>
      <c r="K25" s="30">
        <f>AVERAGE(K8:K20)</f>
        <v>1.1174415789748386</v>
      </c>
      <c r="L25" s="30">
        <f>AVERAGE(L8:L20)</f>
        <v>12.178776748323664</v>
      </c>
      <c r="M25" s="30">
        <f>AVERAGE(M8:M20)</f>
        <v>44.205366183049186</v>
      </c>
    </row>
    <row r="26" spans="1:13" ht="15.75" customHeight="1" x14ac:dyDescent="0.25">
      <c r="A26" s="17"/>
      <c r="B26" s="28"/>
      <c r="C26" s="5" t="s">
        <v>74</v>
      </c>
      <c r="D26" s="5"/>
      <c r="E26" s="5"/>
      <c r="F26" s="5"/>
      <c r="G26" s="5"/>
      <c r="H26" s="5"/>
      <c r="I26" s="5"/>
      <c r="J26" s="5"/>
      <c r="K26" s="29">
        <f>PERCENTILE(K8:K20,0.75)</f>
        <v>0.93333333333333335</v>
      </c>
      <c r="L26" s="29">
        <f>PERCENTILE(L8:L20,0.75)</f>
        <v>15.130855751391465</v>
      </c>
      <c r="M26" s="29">
        <f>PERCENTILE(M8:M20,0.75)</f>
        <v>53.209007741027449</v>
      </c>
    </row>
    <row r="27" spans="1:13" ht="15.75" customHeight="1" x14ac:dyDescent="0.25">
      <c r="A27" s="17"/>
      <c r="B27" s="28"/>
      <c r="C27" s="5" t="s">
        <v>75</v>
      </c>
      <c r="D27" s="5"/>
      <c r="E27" s="5"/>
      <c r="F27" s="5"/>
      <c r="G27" s="5"/>
      <c r="H27" s="5"/>
      <c r="I27" s="5"/>
      <c r="J27" s="5"/>
      <c r="K27" s="29">
        <f>MAX(K8:K20)</f>
        <v>3.3333333333333335</v>
      </c>
      <c r="L27" s="29">
        <f>MAX(L8:L20)</f>
        <v>20.943877551020407</v>
      </c>
      <c r="M27" s="29">
        <f>MAX(M8:M20)</f>
        <v>54.693877551020407</v>
      </c>
    </row>
    <row r="29" spans="1:13" ht="3.75" customHeight="1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 ht="15" customHeight="1" x14ac:dyDescent="0.25">
      <c r="B30" s="8" t="s">
        <v>76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</sheetData>
  <mergeCells count="9">
    <mergeCell ref="C25:J25"/>
    <mergeCell ref="C26:J26"/>
    <mergeCell ref="C27:J27"/>
    <mergeCell ref="B30:M30"/>
    <mergeCell ref="B2:M2"/>
    <mergeCell ref="B3:M3"/>
    <mergeCell ref="C22:J22"/>
    <mergeCell ref="C23:J23"/>
    <mergeCell ref="C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B1:I29"/>
  <sheetViews>
    <sheetView showGridLines="0"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11" sqref="C11"/>
    </sheetView>
  </sheetViews>
  <sheetFormatPr defaultColWidth="8.7109375" defaultRowHeight="15" x14ac:dyDescent="0.25"/>
  <cols>
    <col min="1" max="1" width="3" customWidth="1"/>
    <col min="2" max="2" width="30" customWidth="1"/>
    <col min="3" max="5" width="16" customWidth="1"/>
    <col min="6" max="6" width="9.140625" customWidth="1"/>
    <col min="7" max="9" width="16" customWidth="1"/>
    <col min="10" max="10" width="3" customWidth="1"/>
  </cols>
  <sheetData>
    <row r="1" spans="2:9" ht="7.5" customHeight="1" x14ac:dyDescent="0.25"/>
    <row r="2" spans="2:9" ht="27.75" customHeight="1" x14ac:dyDescent="0.25">
      <c r="B2" s="7" t="s">
        <v>77</v>
      </c>
      <c r="C2" s="7"/>
      <c r="D2" s="7"/>
      <c r="E2" s="7"/>
      <c r="F2" s="7"/>
      <c r="G2" s="7"/>
      <c r="H2" s="7"/>
      <c r="I2" s="7"/>
    </row>
    <row r="3" spans="2:9" ht="15" customHeight="1" x14ac:dyDescent="0.25">
      <c r="B3" s="6" t="s">
        <v>78</v>
      </c>
      <c r="C3" s="6"/>
      <c r="D3" s="6"/>
      <c r="E3" s="6"/>
      <c r="F3" s="6"/>
      <c r="G3" s="6"/>
      <c r="H3" s="6"/>
      <c r="I3" s="6"/>
    </row>
    <row r="4" spans="2:9" ht="3.75" customHeight="1" x14ac:dyDescent="0.25">
      <c r="B4" s="13"/>
      <c r="C4" s="13"/>
      <c r="D4" s="13"/>
      <c r="E4" s="13"/>
      <c r="F4" s="13"/>
      <c r="G4" s="13"/>
      <c r="H4" s="13"/>
      <c r="I4" s="13"/>
    </row>
    <row r="5" spans="2:9" ht="7.5" customHeight="1" x14ac:dyDescent="0.25"/>
    <row r="6" spans="2:9" ht="19.5" customHeight="1" x14ac:dyDescent="0.25">
      <c r="B6" s="3" t="s">
        <v>79</v>
      </c>
      <c r="C6" s="3"/>
      <c r="D6" s="3"/>
      <c r="E6" s="3"/>
      <c r="F6" s="3"/>
      <c r="G6" s="3"/>
      <c r="H6" s="3"/>
      <c r="I6" s="3"/>
    </row>
    <row r="7" spans="2:9" ht="15.75" customHeight="1" x14ac:dyDescent="0.25">
      <c r="B7" s="31" t="s">
        <v>80</v>
      </c>
      <c r="C7" s="32">
        <v>920</v>
      </c>
      <c r="D7" s="2" t="s">
        <v>81</v>
      </c>
      <c r="E7" s="2"/>
      <c r="F7" s="2"/>
      <c r="G7" s="2"/>
      <c r="H7" s="2"/>
      <c r="I7" s="2"/>
    </row>
    <row r="8" spans="2:9" ht="15.75" customHeight="1" x14ac:dyDescent="0.25">
      <c r="B8" s="31" t="s">
        <v>82</v>
      </c>
      <c r="C8" s="32">
        <v>444</v>
      </c>
      <c r="D8" s="2" t="s">
        <v>83</v>
      </c>
      <c r="E8" s="2"/>
      <c r="F8" s="2"/>
      <c r="G8" s="2"/>
      <c r="H8" s="2"/>
      <c r="I8" s="2"/>
    </row>
    <row r="9" spans="2:9" ht="15.75" customHeight="1" x14ac:dyDescent="0.25">
      <c r="B9" s="31" t="s">
        <v>84</v>
      </c>
      <c r="C9" s="33">
        <f>C7*C8</f>
        <v>408480</v>
      </c>
    </row>
    <row r="10" spans="2:9" ht="15.75" customHeight="1" x14ac:dyDescent="0.25">
      <c r="B10" s="31" t="s">
        <v>85</v>
      </c>
      <c r="C10" s="32">
        <v>9200</v>
      </c>
      <c r="D10" s="2" t="s">
        <v>86</v>
      </c>
      <c r="E10" s="2"/>
      <c r="F10" s="2"/>
      <c r="G10" s="2"/>
      <c r="H10" s="2"/>
      <c r="I10" s="2"/>
    </row>
    <row r="11" spans="2:9" ht="15.75" customHeight="1" x14ac:dyDescent="0.25">
      <c r="B11" s="31" t="s">
        <v>87</v>
      </c>
      <c r="C11" s="32">
        <v>13800</v>
      </c>
      <c r="D11" s="2" t="s">
        <v>86</v>
      </c>
      <c r="E11" s="2"/>
      <c r="F11" s="2"/>
      <c r="G11" s="2"/>
      <c r="H11" s="2"/>
      <c r="I11" s="2"/>
    </row>
    <row r="12" spans="2:9" ht="15.75" customHeight="1" x14ac:dyDescent="0.25">
      <c r="B12" s="31" t="s">
        <v>88</v>
      </c>
      <c r="C12" s="44">
        <f>C10-C11</f>
        <v>-4600</v>
      </c>
    </row>
    <row r="13" spans="2:9" ht="15.75" customHeight="1" x14ac:dyDescent="0.25">
      <c r="B13" s="31" t="s">
        <v>89</v>
      </c>
      <c r="C13" s="44">
        <f>C9+C12</f>
        <v>403880</v>
      </c>
    </row>
    <row r="14" spans="2:9" ht="15.75" customHeight="1" x14ac:dyDescent="0.25">
      <c r="B14" s="31" t="s">
        <v>90</v>
      </c>
      <c r="C14" s="32">
        <v>254000</v>
      </c>
      <c r="D14" s="2" t="s">
        <v>91</v>
      </c>
      <c r="E14" s="2"/>
      <c r="F14" s="2"/>
      <c r="G14" s="2"/>
      <c r="H14" s="2"/>
      <c r="I14" s="2"/>
    </row>
    <row r="15" spans="2:9" ht="15.75" customHeight="1" x14ac:dyDescent="0.25">
      <c r="B15" s="31" t="s">
        <v>92</v>
      </c>
      <c r="C15" s="32">
        <v>10200</v>
      </c>
      <c r="D15" s="2" t="s">
        <v>93</v>
      </c>
      <c r="E15" s="2"/>
      <c r="F15" s="2"/>
      <c r="G15" s="2"/>
      <c r="H15" s="2"/>
      <c r="I15" s="2"/>
    </row>
    <row r="16" spans="2:9" ht="15.75" customHeight="1" x14ac:dyDescent="0.25">
      <c r="B16" s="31" t="s">
        <v>94</v>
      </c>
      <c r="C16" s="32">
        <v>7367</v>
      </c>
      <c r="D16" s="2" t="s">
        <v>91</v>
      </c>
      <c r="E16" s="2"/>
      <c r="F16" s="2"/>
      <c r="G16" s="2"/>
      <c r="H16" s="2"/>
      <c r="I16" s="2"/>
    </row>
    <row r="17" spans="2:9" ht="15.75" customHeight="1" x14ac:dyDescent="0.25">
      <c r="B17" s="31" t="s">
        <v>95</v>
      </c>
      <c r="C17" s="34">
        <v>17.100000000000001</v>
      </c>
      <c r="D17" s="2" t="s">
        <v>91</v>
      </c>
      <c r="E17" s="2"/>
      <c r="F17" s="2"/>
      <c r="G17" s="2"/>
      <c r="H17" s="2"/>
      <c r="I17" s="2"/>
    </row>
    <row r="18" spans="2:9" ht="6" customHeight="1" x14ac:dyDescent="0.25"/>
    <row r="19" spans="2:9" ht="3.75" customHeight="1" x14ac:dyDescent="0.25">
      <c r="B19" s="13"/>
      <c r="C19" s="13"/>
      <c r="D19" s="13"/>
      <c r="E19" s="13"/>
      <c r="F19" s="13"/>
      <c r="G19" s="13"/>
      <c r="H19" s="13"/>
      <c r="I19" s="13"/>
    </row>
    <row r="20" spans="2:9" ht="13.5" customHeight="1" x14ac:dyDescent="0.25">
      <c r="B20" s="3" t="s">
        <v>96</v>
      </c>
      <c r="C20" s="3"/>
      <c r="D20" s="3"/>
      <c r="E20" s="3"/>
      <c r="F20" s="3"/>
      <c r="G20" s="3"/>
      <c r="H20" s="3"/>
      <c r="I20" s="3"/>
    </row>
    <row r="21" spans="2:9" ht="30" customHeight="1" x14ac:dyDescent="0.25">
      <c r="B21" s="16" t="s">
        <v>97</v>
      </c>
      <c r="C21" s="16" t="s">
        <v>98</v>
      </c>
      <c r="D21" s="16" t="s">
        <v>99</v>
      </c>
      <c r="E21" s="16" t="s">
        <v>100</v>
      </c>
      <c r="F21" s="16" t="s">
        <v>101</v>
      </c>
      <c r="G21" s="16" t="s">
        <v>102</v>
      </c>
      <c r="H21" s="16" t="s">
        <v>103</v>
      </c>
      <c r="I21" s="16" t="s">
        <v>104</v>
      </c>
    </row>
    <row r="22" spans="2:9" ht="18" customHeight="1" x14ac:dyDescent="0.25">
      <c r="B22" s="35" t="s">
        <v>105</v>
      </c>
      <c r="C22" s="36">
        <v>254000</v>
      </c>
      <c r="D22" s="37">
        <f>'Precedent Transactions'!K23</f>
        <v>0.47763157894736841</v>
      </c>
      <c r="E22" s="37">
        <f>'Precedent Transactions'!K24</f>
        <v>0.86774193548387102</v>
      </c>
      <c r="F22" s="37">
        <f>'Precedent Transactions'!K26</f>
        <v>0.93333333333333335</v>
      </c>
      <c r="G22" s="38">
        <f>(($C$14*D22)-$C$12)/$C$8</f>
        <v>283.60004741583685</v>
      </c>
      <c r="H22" s="38">
        <f>(($C$14*E22)-$C$12)/$C$8</f>
        <v>506.77128741644873</v>
      </c>
      <c r="I22" s="38">
        <f>(($C$14*F22)-$C$12)/$C$8</f>
        <v>544.29429429429422</v>
      </c>
    </row>
    <row r="23" spans="2:9" ht="18" customHeight="1" x14ac:dyDescent="0.25">
      <c r="B23" s="39" t="s">
        <v>106</v>
      </c>
      <c r="C23" s="40">
        <v>10200</v>
      </c>
      <c r="D23" s="45">
        <f>'Precedent Transactions'!L23</f>
        <v>8.6492639040348962</v>
      </c>
      <c r="E23" s="46">
        <f>'Precedent Transactions'!L24</f>
        <v>10.954509803921567</v>
      </c>
      <c r="F23" s="46" cm="1">
        <f t="array" ref="F23">_xlfn.ANCHORARRAY('Precedent Transactions'!L26)</f>
        <v>15.130855751391465</v>
      </c>
      <c r="G23" s="47">
        <f>(($C$15*D23)-$C$12)/$C$8</f>
        <v>209.05966626386473</v>
      </c>
      <c r="H23" s="47">
        <f>(($C$15*E23)-$C$12)/$C$8</f>
        <v>262.01801801801798</v>
      </c>
      <c r="I23" s="47">
        <f>(($C$15*F23)-$C$12)/$C$8</f>
        <v>357.96110059502917</v>
      </c>
    </row>
    <row r="24" spans="2:9" ht="18" customHeight="1" x14ac:dyDescent="0.25">
      <c r="B24" s="35" t="s">
        <v>107</v>
      </c>
      <c r="C24" s="41">
        <v>17.100000000000001</v>
      </c>
      <c r="D24" s="37">
        <f>'Precedent Transactions'!M23</f>
        <v>38.961110499063565</v>
      </c>
      <c r="E24" s="37">
        <f>'Precedent Transactions'!M24</f>
        <v>51.724137931034484</v>
      </c>
      <c r="F24" s="37">
        <f>'Precedent Transactions'!M26</f>
        <v>53.209007741027449</v>
      </c>
      <c r="G24" s="38">
        <f>C24*D24</f>
        <v>666.234989533987</v>
      </c>
      <c r="H24" s="38">
        <f>C24*E24</f>
        <v>884.48275862068976</v>
      </c>
      <c r="I24" s="38">
        <f>C24*F24</f>
        <v>909.87403237156946</v>
      </c>
    </row>
    <row r="26" spans="2:9" ht="18" customHeight="1" x14ac:dyDescent="0.25">
      <c r="B26" s="1" t="s">
        <v>108</v>
      </c>
      <c r="C26" s="1"/>
      <c r="D26" s="1"/>
      <c r="E26" s="1"/>
      <c r="F26" s="1"/>
      <c r="G26" s="42">
        <v>920</v>
      </c>
      <c r="H26" s="42">
        <v>920</v>
      </c>
      <c r="I26" s="42">
        <v>920</v>
      </c>
    </row>
    <row r="28" spans="2:9" ht="3.75" customHeight="1" x14ac:dyDescent="0.25">
      <c r="B28" s="13"/>
      <c r="C28" s="13"/>
      <c r="D28" s="13"/>
      <c r="E28" s="13"/>
      <c r="F28" s="13"/>
      <c r="G28" s="13"/>
      <c r="H28" s="13"/>
      <c r="I28" s="13"/>
    </row>
    <row r="29" spans="2:9" ht="15.75" customHeight="1" x14ac:dyDescent="0.25">
      <c r="B29" s="8" t="s">
        <v>109</v>
      </c>
      <c r="C29" s="8"/>
      <c r="D29" s="8"/>
      <c r="E29" s="8"/>
      <c r="F29" s="8"/>
      <c r="G29" s="8"/>
      <c r="H29" s="8"/>
      <c r="I29" s="8"/>
    </row>
  </sheetData>
  <mergeCells count="14">
    <mergeCell ref="D17:I17"/>
    <mergeCell ref="B20:I20"/>
    <mergeCell ref="B26:F26"/>
    <mergeCell ref="B29:I29"/>
    <mergeCell ref="D10:I10"/>
    <mergeCell ref="D11:I11"/>
    <mergeCell ref="D14:I14"/>
    <mergeCell ref="D15:I15"/>
    <mergeCell ref="D16:I16"/>
    <mergeCell ref="B2:I2"/>
    <mergeCell ref="B3:I3"/>
    <mergeCell ref="B6:I6"/>
    <mergeCell ref="D7:I7"/>
    <mergeCell ref="D8:I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Precedent Transactions</vt:lpstr>
      <vt:lpstr>Implied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Asad Mahmood</cp:lastModifiedBy>
  <cp:revision>0</cp:revision>
  <dcterms:created xsi:type="dcterms:W3CDTF">2026-05-30T11:39:32Z</dcterms:created>
  <dcterms:modified xsi:type="dcterms:W3CDTF">2026-05-30T13:00:58Z</dcterms:modified>
  <dc:language>en-US</dc:language>
</cp:coreProperties>
</file>