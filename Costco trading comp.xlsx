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60bfd5c86354ea/ASAD - This PC/Organised Files/02 Finance - Modelling and Case Studies/costco portfolio/"/>
    </mc:Choice>
  </mc:AlternateContent>
  <xr:revisionPtr revIDLastSave="38" documentId="8_{0DFE50F8-4937-4711-86EF-39EB6CECC19F}" xr6:coauthVersionLast="47" xr6:coauthVersionMax="47" xr10:uidLastSave="{87F7F107-2907-4200-AC64-16BB527845D1}"/>
  <bookViews>
    <workbookView xWindow="-120" yWindow="-120" windowWidth="29040" windowHeight="15720" tabRatio="500" xr2:uid="{00000000-000D-0000-FFFF-FFFF00000000}"/>
  </bookViews>
  <sheets>
    <sheet name="Trading Com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29" i="1"/>
  <c r="D34" i="1"/>
  <c r="D33" i="1"/>
  <c r="D32" i="1"/>
  <c r="D31" i="1"/>
  <c r="D30" i="1"/>
  <c r="D29" i="1"/>
  <c r="D28" i="1"/>
  <c r="O32" i="1"/>
  <c r="N32" i="1"/>
  <c r="M32" i="1"/>
  <c r="K34" i="1"/>
  <c r="K33" i="1"/>
  <c r="K32" i="1"/>
  <c r="K31" i="1"/>
  <c r="K30" i="1"/>
  <c r="J29" i="1"/>
  <c r="I29" i="1"/>
  <c r="H29" i="1"/>
  <c r="G29" i="1"/>
  <c r="F29" i="1"/>
  <c r="W23" i="1"/>
  <c r="W22" i="1"/>
  <c r="W21" i="1"/>
  <c r="W20" i="1"/>
  <c r="W19" i="1"/>
  <c r="W18" i="1"/>
  <c r="V23" i="1"/>
  <c r="V22" i="1"/>
  <c r="V21" i="1"/>
  <c r="V20" i="1"/>
  <c r="V19" i="1"/>
  <c r="V18" i="1"/>
  <c r="U23" i="1"/>
  <c r="U22" i="1"/>
  <c r="U20" i="1"/>
  <c r="U19" i="1"/>
  <c r="U18" i="1"/>
  <c r="T22" i="1"/>
  <c r="T21" i="1"/>
  <c r="T20" i="1"/>
  <c r="T19" i="1"/>
  <c r="T18" i="1"/>
  <c r="S23" i="1"/>
  <c r="S22" i="1"/>
  <c r="S21" i="1"/>
  <c r="S20" i="1"/>
  <c r="S19" i="1"/>
  <c r="S18" i="1"/>
  <c r="N23" i="1"/>
  <c r="L23" i="1"/>
  <c r="L22" i="1"/>
  <c r="L21" i="1"/>
  <c r="L20" i="1"/>
  <c r="L19" i="1"/>
  <c r="L18" i="1"/>
  <c r="X15" i="1"/>
  <c r="X14" i="1"/>
  <c r="X13" i="1"/>
  <c r="X12" i="1"/>
  <c r="W15" i="1"/>
  <c r="W14" i="1"/>
  <c r="W13" i="1"/>
  <c r="W12" i="1"/>
  <c r="V15" i="1"/>
  <c r="V14" i="1"/>
  <c r="V13" i="1"/>
  <c r="V12" i="1"/>
  <c r="U15" i="1"/>
  <c r="U14" i="1"/>
  <c r="U13" i="1"/>
  <c r="U12" i="1"/>
  <c r="T15" i="1"/>
  <c r="T14" i="1"/>
  <c r="T13" i="1"/>
  <c r="T12" i="1"/>
  <c r="S15" i="1"/>
  <c r="S14" i="1"/>
  <c r="S13" i="1"/>
  <c r="S12" i="1"/>
  <c r="Q15" i="1"/>
  <c r="Q14" i="1"/>
  <c r="Q13" i="1"/>
  <c r="Q12" i="1"/>
  <c r="P15" i="1"/>
  <c r="P14" i="1"/>
  <c r="P13" i="1"/>
  <c r="P12" i="1"/>
  <c r="N15" i="1"/>
  <c r="N14" i="1"/>
  <c r="N13" i="1"/>
  <c r="N12" i="1"/>
  <c r="J15" i="1"/>
  <c r="J14" i="1"/>
  <c r="J13" i="1"/>
  <c r="J12" i="1"/>
  <c r="I15" i="1"/>
  <c r="I14" i="1"/>
  <c r="I13" i="1"/>
  <c r="I12" i="1"/>
  <c r="F13" i="1"/>
  <c r="X9" i="1"/>
  <c r="W9" i="1"/>
  <c r="V9" i="1"/>
  <c r="S9" i="1"/>
  <c r="Q9" i="1"/>
  <c r="P9" i="1"/>
  <c r="N9" i="1"/>
  <c r="J9" i="1"/>
  <c r="I9" i="1"/>
  <c r="F9" i="1"/>
  <c r="F15" i="1"/>
  <c r="Q23" i="1"/>
  <c r="U21" i="1"/>
  <c r="Q22" i="1"/>
  <c r="Q21" i="1"/>
  <c r="Q20" i="1"/>
  <c r="Q19" i="1"/>
  <c r="Q18" i="1"/>
  <c r="U9" i="1"/>
  <c r="T9" i="1"/>
  <c r="O33" i="1"/>
  <c r="N33" i="1"/>
  <c r="M33" i="1"/>
  <c r="L33" i="1"/>
  <c r="J33" i="1"/>
  <c r="I33" i="1"/>
  <c r="H33" i="1"/>
  <c r="G33" i="1"/>
  <c r="F33" i="1"/>
  <c r="O31" i="1"/>
  <c r="N31" i="1"/>
  <c r="M31" i="1"/>
  <c r="L31" i="1"/>
  <c r="J31" i="1"/>
  <c r="I31" i="1"/>
  <c r="H31" i="1"/>
  <c r="G31" i="1"/>
  <c r="F31" i="1"/>
  <c r="F14" i="1"/>
  <c r="F12" i="1"/>
  <c r="N20" i="1" l="1"/>
  <c r="N18" i="1"/>
  <c r="N19" i="1"/>
  <c r="N22" i="1"/>
  <c r="N21" i="1"/>
  <c r="T23" i="1"/>
  <c r="N29" i="1"/>
  <c r="M29" i="1"/>
  <c r="K29" i="1"/>
  <c r="L29" i="1"/>
  <c r="O29" i="1"/>
  <c r="K28" i="1" l="1"/>
  <c r="L28" i="1"/>
  <c r="L30" i="1" s="1"/>
  <c r="L32" i="1" s="1"/>
  <c r="L34" i="1" s="1"/>
  <c r="J28" i="1"/>
  <c r="J30" i="1" s="1"/>
  <c r="J32" i="1" s="1"/>
  <c r="J34" i="1" s="1"/>
  <c r="X19" i="1"/>
  <c r="X20" i="1"/>
  <c r="N28" i="1" s="1"/>
  <c r="N30" i="1" s="1"/>
  <c r="N34" i="1" s="1"/>
  <c r="X21" i="1"/>
  <c r="X22" i="1"/>
  <c r="X23" i="1"/>
  <c r="M28" i="1" s="1"/>
  <c r="M30" i="1" s="1"/>
  <c r="M34" i="1" s="1"/>
  <c r="X18" i="1"/>
  <c r="O28" i="1" s="1"/>
  <c r="O30" i="1" s="1"/>
  <c r="O34" i="1" s="1"/>
  <c r="F28" i="1" l="1"/>
  <c r="F30" i="1" s="1"/>
  <c r="F32" i="1" s="1"/>
  <c r="F34" i="1" s="1"/>
  <c r="E28" i="1"/>
  <c r="E30" i="1" s="1"/>
  <c r="H28" i="1"/>
  <c r="H30" i="1" s="1"/>
  <c r="H32" i="1" s="1"/>
  <c r="H34" i="1" s="1"/>
  <c r="G28" i="1"/>
  <c r="G30" i="1" s="1"/>
  <c r="G32" i="1" s="1"/>
  <c r="G34" i="1" s="1"/>
  <c r="I28" i="1"/>
  <c r="I30" i="1" s="1"/>
  <c r="I32" i="1" s="1"/>
  <c r="I34" i="1" s="1"/>
</calcChain>
</file>

<file path=xl/sharedStrings.xml><?xml version="1.0" encoding="utf-8"?>
<sst xmlns="http://schemas.openxmlformats.org/spreadsheetml/2006/main" count="79" uniqueCount="64">
  <si>
    <t>COMPARABLE COMPANIES ANALYSIS  //  COSTCO WHOLESALE</t>
  </si>
  <si>
    <t>$ in millions, except per share data  |  LTM financials per most recent completed fiscal year  |  Prices as of filing date</t>
  </si>
  <si>
    <t>MARKET DATA</t>
  </si>
  <si>
    <t>OPERATING STATISTICS  —  LTM</t>
  </si>
  <si>
    <t>CREDIT</t>
  </si>
  <si>
    <t>TRADING MULTIPLES</t>
  </si>
  <si>
    <t>Company</t>
  </si>
  <si>
    <t>Ticker</t>
  </si>
  <si>
    <t>FYE</t>
  </si>
  <si>
    <t>Share
Price ($)</t>
  </si>
  <si>
    <t>Shares
Out. (mm)</t>
  </si>
  <si>
    <t>Equity
Value</t>
  </si>
  <si>
    <t>Cash &amp;
Equiv.</t>
  </si>
  <si>
    <t>Total
Debt</t>
  </si>
  <si>
    <t>Net
Debt</t>
  </si>
  <si>
    <t>Enterprise
Value</t>
  </si>
  <si>
    <t>Revenue</t>
  </si>
  <si>
    <t>Rev.
Growth</t>
  </si>
  <si>
    <t>EBITDA</t>
  </si>
  <si>
    <t>EBITDA
Margin</t>
  </si>
  <si>
    <t>D&amp;A</t>
  </si>
  <si>
    <t>EBIT</t>
  </si>
  <si>
    <t>EBIT
Margin</t>
  </si>
  <si>
    <t>Net
Income</t>
  </si>
  <si>
    <t>Net
Margin</t>
  </si>
  <si>
    <t>Net Debt /
EBITDA</t>
  </si>
  <si>
    <t>EV /
Revenue</t>
  </si>
  <si>
    <t>EV /
EBITDA</t>
  </si>
  <si>
    <t>EV /
EBIT</t>
  </si>
  <si>
    <t>P / E</t>
  </si>
  <si>
    <t xml:space="preserve">  Subject Company</t>
  </si>
  <si>
    <t>Costco Wholesale</t>
  </si>
  <si>
    <t>COST</t>
  </si>
  <si>
    <t>Aug-24</t>
  </si>
  <si>
    <t xml:space="preserve">  Comparable Universe</t>
  </si>
  <si>
    <t>Walmart</t>
  </si>
  <si>
    <t>WMT</t>
  </si>
  <si>
    <t>Jan-25</t>
  </si>
  <si>
    <t>Target</t>
  </si>
  <si>
    <t>TGT</t>
  </si>
  <si>
    <t>Feb-25</t>
  </si>
  <si>
    <t>BJ's Wholesale Club</t>
  </si>
  <si>
    <t>BJ</t>
  </si>
  <si>
    <t>Kroger</t>
  </si>
  <si>
    <t>KR</t>
  </si>
  <si>
    <t xml:space="preserve">  Peer Statistics  (n=4, excludes subject company)</t>
  </si>
  <si>
    <t>High</t>
  </si>
  <si>
    <t>75th Percentile</t>
  </si>
  <si>
    <t>Median</t>
  </si>
  <si>
    <t>Mean</t>
  </si>
  <si>
    <t>25th Percentile</t>
  </si>
  <si>
    <t>Low</t>
  </si>
  <si>
    <t>IMPLIED VALUATION  —  APPLYING PEER MULTIPLES TO COSTCO LTM FINANCIALS</t>
  </si>
  <si>
    <t>EV / Revenue</t>
  </si>
  <si>
    <t>EV / EBITDA</t>
  </si>
  <si>
    <t>EV / EBIT</t>
  </si>
  <si>
    <t>Implied Enterprise Value ($mm)</t>
  </si>
  <si>
    <t xml:space="preserve">  (–) Net Debt</t>
  </si>
  <si>
    <t>Implied Equity Value ($mm)</t>
  </si>
  <si>
    <t xml:space="preserve">  Diluted Shares Outstanding (mm)</t>
  </si>
  <si>
    <t>Implied Share Price</t>
  </si>
  <si>
    <t xml:space="preserve">  Current Share Price</t>
  </si>
  <si>
    <t xml:space="preserve">  Implied Premium / (Discount)</t>
  </si>
  <si>
    <t>(1) Costco FY2024 (Aug-24): Revenue, EBITDA, EBIT, Net Income sourced from Costco 10-K FY2024, SEC EDGAR. Net Debt corrected to reflect Cash $9,906mm vs. Total Debt $6,727mm per balance sheet (net cash position).  (2) WMT FY2025 (Jan-25): Walmart 10-K FY2025, SEC EDGAR.  (3) TGT FY2025 (Feb-25): Target 10-K FY2025, SEC EDGAR.  (4) BJ FY2025 (Feb-25): BJ's 10-K FY2025, SEC EDGAR.  (5) KR FY2025 (Feb-25): Kroger 10-K FY2025, SEC EDGAR.  (6) Peer statistics exclude Costco. Percentiles via PERCENTILE(). (7) Costco trades at material premium to warehouse/grocery peers, consistent with membership-fee business quality premium.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</si>
</sst>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#,##0;\(#,##0\);\-"/>
    <numFmt numFmtId="166" formatCode="\+0.0%;\(0.0%\);\-"/>
    <numFmt numFmtId="167" formatCode="0.0%;\(0.0%\);\-"/>
    <numFmt numFmtId="168" formatCode="0.0\x;\(0.0&quot;x)&quot;;&quot;NM&quot;"/>
    <numFmt numFmtId="169" formatCode="0.0\x;\(0.0&quot;x)&quot;;\-"/>
  </numFmts>
  <fonts count="12" x14ac:knownFonts="1">
    <font>
      <sz val="12"/>
      <color theme="1"/>
      <name val="Calibri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8"/>
      <color rgb="FFFFFFFF"/>
      <name val="Arial"/>
      <charset val="1"/>
    </font>
    <font>
      <b/>
      <i/>
      <sz val="7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595959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i/>
      <sz val="7"/>
      <color rgb="FF5959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93D68"/>
      </patternFill>
    </fill>
    <fill>
      <patternFill patternType="solid">
        <fgColor rgb="FF404040"/>
        <bgColor rgb="FF293D68"/>
      </patternFill>
    </fill>
    <fill>
      <patternFill patternType="solid">
        <fgColor rgb="FFFAFAFA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9F9F9"/>
      </patternFill>
    </fill>
    <fill>
      <patternFill patternType="solid">
        <fgColor rgb="FFD9D9D9"/>
        <bgColor rgb="FFD9E2F3"/>
      </patternFill>
    </fill>
    <fill>
      <patternFill patternType="solid">
        <fgColor rgb="FFF9F9F9"/>
        <bgColor rgb="FFFAFAFA"/>
      </patternFill>
    </fill>
    <fill>
      <patternFill patternType="solid">
        <fgColor rgb="FFFFEB9C"/>
        <bgColor rgb="FFFEF2CB"/>
      </patternFill>
    </fill>
    <fill>
      <patternFill patternType="solid">
        <fgColor theme="0" tint="-4.9989318521683403E-2"/>
        <bgColor rgb="FFF2F2F2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5" borderId="5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6" fontId="7" fillId="5" borderId="0" xfId="0" applyNumberFormat="1" applyFont="1" applyFill="1" applyAlignment="1">
      <alignment horizontal="right" vertical="center"/>
    </xf>
    <xf numFmtId="167" fontId="8" fillId="5" borderId="0" xfId="0" applyNumberFormat="1" applyFont="1" applyFill="1" applyAlignment="1">
      <alignment horizontal="right" vertical="center"/>
    </xf>
    <xf numFmtId="168" fontId="8" fillId="5" borderId="0" xfId="0" applyNumberFormat="1" applyFont="1" applyFill="1" applyAlignment="1">
      <alignment horizontal="right" vertical="center"/>
    </xf>
    <xf numFmtId="169" fontId="8" fillId="5" borderId="0" xfId="0" applyNumberFormat="1" applyFont="1" applyFill="1" applyAlignment="1">
      <alignment horizontal="right" vertical="center"/>
    </xf>
    <xf numFmtId="169" fontId="8" fillId="5" borderId="6" xfId="0" applyNumberFormat="1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right" vertical="center"/>
    </xf>
    <xf numFmtId="165" fontId="7" fillId="6" borderId="0" xfId="0" applyNumberFormat="1" applyFont="1" applyFill="1" applyAlignment="1">
      <alignment horizontal="right" vertical="center"/>
    </xf>
    <xf numFmtId="165" fontId="8" fillId="6" borderId="0" xfId="0" applyNumberFormat="1" applyFont="1" applyFill="1" applyAlignment="1">
      <alignment horizontal="right" vertical="center"/>
    </xf>
    <xf numFmtId="166" fontId="7" fillId="6" borderId="0" xfId="0" applyNumberFormat="1" applyFont="1" applyFill="1" applyAlignment="1">
      <alignment horizontal="right" vertical="center"/>
    </xf>
    <xf numFmtId="167" fontId="8" fillId="6" borderId="0" xfId="0" applyNumberFormat="1" applyFont="1" applyFill="1" applyAlignment="1">
      <alignment horizontal="right" vertical="center"/>
    </xf>
    <xf numFmtId="168" fontId="8" fillId="6" borderId="0" xfId="0" applyNumberFormat="1" applyFont="1" applyFill="1" applyAlignment="1">
      <alignment horizontal="right" vertical="center"/>
    </xf>
    <xf numFmtId="0" fontId="8" fillId="7" borderId="5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right" vertical="center"/>
    </xf>
    <xf numFmtId="165" fontId="7" fillId="7" borderId="0" xfId="0" applyNumberFormat="1" applyFont="1" applyFill="1" applyAlignment="1">
      <alignment horizontal="right" vertical="center"/>
    </xf>
    <xf numFmtId="165" fontId="8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167" fontId="8" fillId="7" borderId="0" xfId="0" applyNumberFormat="1" applyFont="1" applyFill="1" applyAlignment="1">
      <alignment horizontal="right" vertical="center"/>
    </xf>
    <xf numFmtId="168" fontId="8" fillId="7" borderId="0" xfId="0" applyNumberFormat="1" applyFont="1" applyFill="1" applyAlignment="1">
      <alignment horizontal="right" vertical="center"/>
    </xf>
    <xf numFmtId="0" fontId="0" fillId="8" borderId="0" xfId="0" applyFill="1"/>
    <xf numFmtId="166" fontId="8" fillId="8" borderId="0" xfId="0" applyNumberFormat="1" applyFont="1" applyFill="1" applyAlignment="1">
      <alignment horizontal="right" vertical="center"/>
    </xf>
    <xf numFmtId="167" fontId="8" fillId="8" borderId="0" xfId="0" applyNumberFormat="1" applyFont="1" applyFill="1" applyAlignment="1">
      <alignment horizontal="right" vertical="center"/>
    </xf>
    <xf numFmtId="168" fontId="8" fillId="8" borderId="0" xfId="0" applyNumberFormat="1" applyFont="1" applyFill="1" applyAlignment="1">
      <alignment horizontal="right" vertical="center"/>
    </xf>
    <xf numFmtId="169" fontId="8" fillId="8" borderId="0" xfId="0" applyNumberFormat="1" applyFont="1" applyFill="1" applyAlignment="1">
      <alignment horizontal="right" vertical="center"/>
    </xf>
    <xf numFmtId="169" fontId="8" fillId="8" borderId="6" xfId="0" applyNumberFormat="1" applyFont="1" applyFill="1" applyBorder="1" applyAlignment="1">
      <alignment horizontal="right" vertical="center"/>
    </xf>
    <xf numFmtId="0" fontId="0" fillId="9" borderId="0" xfId="0" applyFill="1"/>
    <xf numFmtId="166" fontId="5" fillId="9" borderId="0" xfId="0" applyNumberFormat="1" applyFont="1" applyFill="1" applyAlignment="1">
      <alignment horizontal="right" vertical="center"/>
    </xf>
    <xf numFmtId="167" fontId="5" fillId="9" borderId="0" xfId="0" applyNumberFormat="1" applyFont="1" applyFill="1" applyAlignment="1">
      <alignment horizontal="right" vertical="center"/>
    </xf>
    <xf numFmtId="168" fontId="5" fillId="9" borderId="0" xfId="0" applyNumberFormat="1" applyFont="1" applyFill="1" applyAlignment="1">
      <alignment horizontal="right" vertical="center"/>
    </xf>
    <xf numFmtId="169" fontId="5" fillId="9" borderId="0" xfId="0" applyNumberFormat="1" applyFont="1" applyFill="1" applyAlignment="1">
      <alignment horizontal="right" vertical="center"/>
    </xf>
    <xf numFmtId="169" fontId="5" fillId="9" borderId="6" xfId="0" applyNumberFormat="1" applyFont="1" applyFill="1" applyBorder="1" applyAlignment="1">
      <alignment horizontal="right" vertical="center"/>
    </xf>
    <xf numFmtId="0" fontId="0" fillId="8" borderId="1" xfId="0" applyFill="1" applyBorder="1"/>
    <xf numFmtId="166" fontId="8" fillId="8" borderId="1" xfId="0" applyNumberFormat="1" applyFont="1" applyFill="1" applyBorder="1" applyAlignment="1">
      <alignment horizontal="right" vertical="center"/>
    </xf>
    <xf numFmtId="167" fontId="8" fillId="8" borderId="1" xfId="0" applyNumberFormat="1" applyFont="1" applyFill="1" applyBorder="1" applyAlignment="1">
      <alignment horizontal="right" vertical="center"/>
    </xf>
    <xf numFmtId="168" fontId="8" fillId="8" borderId="1" xfId="0" applyNumberFormat="1" applyFont="1" applyFill="1" applyBorder="1" applyAlignment="1">
      <alignment horizontal="right" vertical="center"/>
    </xf>
    <xf numFmtId="169" fontId="8" fillId="8" borderId="1" xfId="0" applyNumberFormat="1" applyFont="1" applyFill="1" applyBorder="1" applyAlignment="1">
      <alignment horizontal="right" vertical="center"/>
    </xf>
    <xf numFmtId="169" fontId="8" fillId="8" borderId="9" xfId="0" applyNumberFormat="1" applyFont="1" applyFill="1" applyBorder="1" applyAlignment="1">
      <alignment horizontal="right" vertical="center"/>
    </xf>
    <xf numFmtId="0" fontId="0" fillId="10" borderId="0" xfId="0" applyFill="1"/>
    <xf numFmtId="0" fontId="0" fillId="10" borderId="6" xfId="0" applyFill="1" applyBorder="1"/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165" fontId="8" fillId="8" borderId="0" xfId="0" applyNumberFormat="1" applyFont="1" applyFill="1" applyAlignment="1">
      <alignment horizontal="right" vertical="center"/>
    </xf>
    <xf numFmtId="165" fontId="8" fillId="9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165" fontId="5" fillId="9" borderId="0" xfId="0" applyNumberFormat="1" applyFont="1" applyFill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/>
    </xf>
    <xf numFmtId="164" fontId="5" fillId="11" borderId="0" xfId="0" applyNumberFormat="1" applyFont="1" applyFill="1" applyAlignment="1">
      <alignment horizontal="right" vertical="center"/>
    </xf>
    <xf numFmtId="164" fontId="8" fillId="8" borderId="0" xfId="0" applyNumberFormat="1" applyFont="1" applyFill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167" fontId="8" fillId="9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0" fillId="10" borderId="9" xfId="0" applyFill="1" applyBorder="1"/>
    <xf numFmtId="169" fontId="8" fillId="0" borderId="0" xfId="0" applyNumberFormat="1" applyFont="1" applyAlignment="1">
      <alignment horizontal="right" vertical="center"/>
    </xf>
    <xf numFmtId="169" fontId="8" fillId="0" borderId="6" xfId="0" applyNumberFormat="1" applyFont="1" applyBorder="1" applyAlignment="1">
      <alignment horizontal="right" vertical="center"/>
    </xf>
    <xf numFmtId="169" fontId="8" fillId="12" borderId="0" xfId="0" applyNumberFormat="1" applyFont="1" applyFill="1" applyAlignment="1">
      <alignment horizontal="right" vertical="center"/>
    </xf>
    <xf numFmtId="169" fontId="8" fillId="12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8" fillId="1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2CB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432FF"/>
      <rgbColor rgb="FF00CCFF"/>
      <rgbColor rgb="FFD9E2F3"/>
      <rgbColor rgb="FFE2EFDA"/>
      <rgbColor rgb="FFFFEB9C"/>
      <rgbColor rgb="FFF9F9F9"/>
      <rgbColor rgb="FFFAFAFA"/>
      <rgbColor rgb="FFCC99FF"/>
      <rgbColor rgb="FFF7F7F7"/>
      <rgbColor rgb="FF1155CC"/>
      <rgbColor rgb="FF33CCCC"/>
      <rgbColor rgb="FF99CC00"/>
      <rgbColor rgb="FFFFCC00"/>
      <rgbColor rgb="FFFF9900"/>
      <rgbColor rgb="FFFF6600"/>
      <rgbColor rgb="FF595959"/>
      <rgbColor rgb="FFA5A5A5"/>
      <rgbColor rgb="FF1F3864"/>
      <rgbColor rgb="FF339966"/>
      <rgbColor rgb="FF003300"/>
      <rgbColor rgb="FF333300"/>
      <rgbColor rgb="FF993300"/>
      <rgbColor rgb="FF993366"/>
      <rgbColor rgb="FF293D6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N16" sqref="N16"/>
    </sheetView>
  </sheetViews>
  <sheetFormatPr defaultColWidth="8.625" defaultRowHeight="15.75" x14ac:dyDescent="0.25"/>
  <cols>
    <col min="1" max="1" width="17.125" customWidth="1"/>
    <col min="2" max="2" width="5.75" customWidth="1"/>
    <col min="3" max="3" width="6.125" customWidth="1"/>
    <col min="4" max="5" width="8.125" customWidth="1"/>
    <col min="6" max="6" width="10.5" customWidth="1"/>
    <col min="7" max="7" width="8.5" customWidth="1"/>
    <col min="8" max="9" width="9.5" customWidth="1"/>
    <col min="10" max="11" width="10.5" customWidth="1"/>
    <col min="12" max="12" width="8.125" customWidth="1"/>
    <col min="13" max="14" width="9.5" customWidth="1"/>
    <col min="15" max="15" width="8.125" customWidth="1"/>
    <col min="16" max="16" width="9.5" customWidth="1"/>
    <col min="17" max="17" width="9" customWidth="1"/>
    <col min="18" max="18" width="9.5" customWidth="1"/>
    <col min="19" max="19" width="8.125" customWidth="1"/>
    <col min="20" max="20" width="10.5" customWidth="1"/>
    <col min="21" max="21" width="9.5" customWidth="1"/>
    <col min="22" max="22" width="10.5" customWidth="1"/>
    <col min="23" max="24" width="8.5" customWidth="1"/>
  </cols>
  <sheetData>
    <row r="1" spans="1:24" ht="15" customHeight="1" x14ac:dyDescent="0.25"/>
    <row r="2" spans="1:24" ht="24" customHeight="1" x14ac:dyDescent="0.2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</row>
    <row r="3" spans="1:24" ht="12.75" customHeight="1" x14ac:dyDescent="0.25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</row>
    <row r="4" spans="1:24" ht="15" customHeight="1" x14ac:dyDescent="0.25"/>
    <row r="5" spans="1:24" ht="13.5" customHeight="1" x14ac:dyDescent="0.25">
      <c r="A5" s="75"/>
      <c r="B5" s="75"/>
      <c r="C5" s="75"/>
      <c r="D5" s="76" t="s">
        <v>2</v>
      </c>
      <c r="E5" s="76"/>
      <c r="F5" s="76"/>
      <c r="G5" s="76"/>
      <c r="H5" s="76"/>
      <c r="I5" s="76"/>
      <c r="J5" s="76"/>
      <c r="K5" s="76" t="s">
        <v>3</v>
      </c>
      <c r="L5" s="76"/>
      <c r="M5" s="76"/>
      <c r="N5" s="76"/>
      <c r="O5" s="76"/>
      <c r="P5" s="76"/>
      <c r="Q5" s="76"/>
      <c r="R5" s="76"/>
      <c r="S5" s="76"/>
      <c r="T5" s="1" t="s">
        <v>4</v>
      </c>
      <c r="U5" s="77" t="s">
        <v>5</v>
      </c>
      <c r="V5" s="77"/>
      <c r="W5" s="77"/>
      <c r="X5" s="77"/>
    </row>
    <row r="6" spans="1:24" ht="25.5" customHeight="1" x14ac:dyDescent="0.25">
      <c r="A6" s="2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19</v>
      </c>
      <c r="O6" s="3" t="s">
        <v>20</v>
      </c>
      <c r="P6" s="3" t="s">
        <v>21</v>
      </c>
      <c r="Q6" s="3" t="s">
        <v>22</v>
      </c>
      <c r="R6" s="3" t="s">
        <v>23</v>
      </c>
      <c r="S6" s="3" t="s">
        <v>24</v>
      </c>
      <c r="T6" s="3" t="s">
        <v>25</v>
      </c>
      <c r="U6" s="3" t="s">
        <v>26</v>
      </c>
      <c r="V6" s="3" t="s">
        <v>27</v>
      </c>
      <c r="W6" s="3" t="s">
        <v>28</v>
      </c>
      <c r="X6" s="4" t="s">
        <v>29</v>
      </c>
    </row>
    <row r="7" spans="1:24" ht="15" customHeight="1" x14ac:dyDescent="0.25">
      <c r="A7" s="5"/>
      <c r="X7" s="6"/>
    </row>
    <row r="8" spans="1:24" ht="12" customHeight="1" x14ac:dyDescent="0.25">
      <c r="A8" s="78" t="s">
        <v>30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</row>
    <row r="9" spans="1:24" ht="15" customHeight="1" x14ac:dyDescent="0.25">
      <c r="A9" s="7" t="s">
        <v>31</v>
      </c>
      <c r="B9" s="8" t="s">
        <v>32</v>
      </c>
      <c r="C9" s="9" t="s">
        <v>33</v>
      </c>
      <c r="D9" s="10">
        <v>1028</v>
      </c>
      <c r="E9" s="11">
        <v>443</v>
      </c>
      <c r="F9" s="12">
        <f>D9*E9</f>
        <v>455404</v>
      </c>
      <c r="G9" s="11">
        <v>9906</v>
      </c>
      <c r="H9" s="11">
        <v>6727</v>
      </c>
      <c r="I9" s="12">
        <f>H9-G9</f>
        <v>-3179</v>
      </c>
      <c r="J9" s="12">
        <f>F9+I9</f>
        <v>452225</v>
      </c>
      <c r="K9" s="11">
        <v>254009</v>
      </c>
      <c r="L9" s="13">
        <v>6.6000000000000003E-2</v>
      </c>
      <c r="M9" s="11">
        <v>11550</v>
      </c>
      <c r="N9" s="14">
        <f>M9/K9</f>
        <v>4.5470829773748174E-2</v>
      </c>
      <c r="O9" s="11">
        <v>2265</v>
      </c>
      <c r="P9" s="12">
        <f>M9-O9</f>
        <v>9285</v>
      </c>
      <c r="Q9" s="14">
        <f>P9/K9</f>
        <v>3.6553822896039118E-2</v>
      </c>
      <c r="R9" s="11">
        <v>7367</v>
      </c>
      <c r="S9" s="14">
        <f>IF(K9=0,"",R9/K9)</f>
        <v>2.9002909345731843E-2</v>
      </c>
      <c r="T9" s="15" t="str">
        <f>IF(OR(I9&lt;=0,M9&lt;=0),"",I9/M9)</f>
        <v/>
      </c>
      <c r="U9" s="16">
        <f>J9/K9</f>
        <v>1.7803503025483349</v>
      </c>
      <c r="V9" s="16">
        <f>J9/M9</f>
        <v>39.153679653679653</v>
      </c>
      <c r="W9" s="16">
        <f>J9/P9</f>
        <v>48.704900376952075</v>
      </c>
      <c r="X9" s="17">
        <f>F9/R9</f>
        <v>61.816750373286276</v>
      </c>
    </row>
    <row r="10" spans="1:24" ht="15" customHeight="1" x14ac:dyDescent="0.25">
      <c r="A10" s="5"/>
      <c r="X10" s="6"/>
    </row>
    <row r="11" spans="1:24" ht="12" customHeight="1" x14ac:dyDescent="0.25">
      <c r="A11" s="78" t="s">
        <v>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</row>
    <row r="12" spans="1:24" ht="15" customHeight="1" x14ac:dyDescent="0.25">
      <c r="A12" s="18" t="s">
        <v>35</v>
      </c>
      <c r="B12" s="19" t="s">
        <v>36</v>
      </c>
      <c r="C12" s="20" t="s">
        <v>37</v>
      </c>
      <c r="D12" s="21">
        <v>96</v>
      </c>
      <c r="E12" s="22">
        <v>8040</v>
      </c>
      <c r="F12" s="23">
        <f>D12*E12</f>
        <v>771840</v>
      </c>
      <c r="G12" s="22">
        <v>9294</v>
      </c>
      <c r="H12" s="22">
        <v>49390</v>
      </c>
      <c r="I12" s="23">
        <f>H12-G12</f>
        <v>40096</v>
      </c>
      <c r="J12" s="23">
        <f>F12+I12</f>
        <v>811936</v>
      </c>
      <c r="K12" s="22">
        <v>681000</v>
      </c>
      <c r="L12" s="24">
        <v>5.0999999999999997E-2</v>
      </c>
      <c r="M12" s="22">
        <v>35600</v>
      </c>
      <c r="N12" s="25">
        <f>M12/K12</f>
        <v>5.2276064610866375E-2</v>
      </c>
      <c r="O12" s="22">
        <v>11000</v>
      </c>
      <c r="P12" s="23">
        <f>M12-O12</f>
        <v>24600</v>
      </c>
      <c r="Q12" s="25">
        <f>P12/K12</f>
        <v>3.6123348017621147E-2</v>
      </c>
      <c r="R12" s="22">
        <v>19400</v>
      </c>
      <c r="S12" s="25">
        <f>R12/K12</f>
        <v>2.8487518355359766E-2</v>
      </c>
      <c r="T12" s="26">
        <f>I12/M12</f>
        <v>1.1262921348314607</v>
      </c>
      <c r="U12" s="69">
        <f>J12/K12</f>
        <v>1.1922701908957416</v>
      </c>
      <c r="V12" s="69">
        <f>J12/M12</f>
        <v>22.807191011235954</v>
      </c>
      <c r="W12" s="69">
        <f>J12/P12</f>
        <v>33.005528455284555</v>
      </c>
      <c r="X12" s="70">
        <f>F12/R12</f>
        <v>39.785567010309279</v>
      </c>
    </row>
    <row r="13" spans="1:24" ht="15" customHeight="1" x14ac:dyDescent="0.25">
      <c r="A13" s="27" t="s">
        <v>38</v>
      </c>
      <c r="B13" s="28" t="s">
        <v>39</v>
      </c>
      <c r="C13" s="29" t="s">
        <v>40</v>
      </c>
      <c r="D13" s="30">
        <v>126</v>
      </c>
      <c r="E13" s="31">
        <v>461</v>
      </c>
      <c r="F13" s="32">
        <f>D13*E13</f>
        <v>58086</v>
      </c>
      <c r="G13" s="31">
        <v>2800</v>
      </c>
      <c r="H13" s="31">
        <v>16100</v>
      </c>
      <c r="I13" s="32">
        <f>H13-G13</f>
        <v>13300</v>
      </c>
      <c r="J13" s="32">
        <f>F13+I13</f>
        <v>71386</v>
      </c>
      <c r="K13" s="31">
        <v>106566</v>
      </c>
      <c r="L13" s="33">
        <v>-2.3E-2</v>
      </c>
      <c r="M13" s="31">
        <v>6700</v>
      </c>
      <c r="N13" s="34">
        <f>M13/K13</f>
        <v>6.2871835294559239E-2</v>
      </c>
      <c r="O13" s="31">
        <v>2200</v>
      </c>
      <c r="P13" s="32">
        <f>M13-O13</f>
        <v>4500</v>
      </c>
      <c r="Q13" s="34">
        <f>P13/K13</f>
        <v>4.2227352063509936E-2</v>
      </c>
      <c r="R13" s="31">
        <v>3300</v>
      </c>
      <c r="S13" s="34">
        <f>R13/K13</f>
        <v>3.0966724846573954E-2</v>
      </c>
      <c r="T13" s="35">
        <f>I13/M13</f>
        <v>1.9850746268656716</v>
      </c>
      <c r="U13" s="71">
        <f>J13/K13</f>
        <v>0.66987594542349338</v>
      </c>
      <c r="V13" s="71">
        <f>J13/M13</f>
        <v>10.654626865671641</v>
      </c>
      <c r="W13" s="71">
        <f>J13/P13</f>
        <v>15.863555555555555</v>
      </c>
      <c r="X13" s="72">
        <f>F13/R13</f>
        <v>17.601818181818182</v>
      </c>
    </row>
    <row r="14" spans="1:24" ht="15" customHeight="1" x14ac:dyDescent="0.25">
      <c r="A14" s="18" t="s">
        <v>41</v>
      </c>
      <c r="B14" s="19" t="s">
        <v>42</v>
      </c>
      <c r="C14" s="20" t="s">
        <v>40</v>
      </c>
      <c r="D14" s="21">
        <v>90</v>
      </c>
      <c r="E14" s="22">
        <v>125</v>
      </c>
      <c r="F14" s="23">
        <f>D14*E14</f>
        <v>11250</v>
      </c>
      <c r="G14" s="22">
        <v>530</v>
      </c>
      <c r="H14" s="22">
        <v>2100</v>
      </c>
      <c r="I14" s="23">
        <f>H14-G14</f>
        <v>1570</v>
      </c>
      <c r="J14" s="23">
        <f>F14+I14</f>
        <v>12820</v>
      </c>
      <c r="K14" s="22">
        <v>20800</v>
      </c>
      <c r="L14" s="24">
        <v>5.6000000000000001E-2</v>
      </c>
      <c r="M14" s="22">
        <v>1100</v>
      </c>
      <c r="N14" s="25">
        <f>M14/K14</f>
        <v>5.2884615384615384E-2</v>
      </c>
      <c r="O14" s="22">
        <v>360</v>
      </c>
      <c r="P14" s="23">
        <f>M14-O14</f>
        <v>740</v>
      </c>
      <c r="Q14" s="25">
        <f>P14/K14</f>
        <v>3.5576923076923075E-2</v>
      </c>
      <c r="R14" s="22">
        <v>600</v>
      </c>
      <c r="S14" s="25">
        <f>R14/K14</f>
        <v>2.8846153846153848E-2</v>
      </c>
      <c r="T14" s="26">
        <f>I14/M14</f>
        <v>1.4272727272727272</v>
      </c>
      <c r="U14" s="69">
        <f>J14/K14</f>
        <v>0.61634615384615388</v>
      </c>
      <c r="V14" s="69">
        <f>J14/M14</f>
        <v>11.654545454545454</v>
      </c>
      <c r="W14" s="69">
        <f>J14/P14</f>
        <v>17.324324324324323</v>
      </c>
      <c r="X14" s="70">
        <f>F14/R14</f>
        <v>18.75</v>
      </c>
    </row>
    <row r="15" spans="1:24" ht="15" customHeight="1" x14ac:dyDescent="0.25">
      <c r="A15" s="27" t="s">
        <v>43</v>
      </c>
      <c r="B15" s="28" t="s">
        <v>44</v>
      </c>
      <c r="C15" s="29" t="s">
        <v>40</v>
      </c>
      <c r="D15" s="30">
        <v>65</v>
      </c>
      <c r="E15" s="31">
        <v>740</v>
      </c>
      <c r="F15" s="32">
        <f>D15*E15</f>
        <v>48100</v>
      </c>
      <c r="G15" s="31">
        <v>1500</v>
      </c>
      <c r="H15" s="31">
        <v>32500</v>
      </c>
      <c r="I15" s="32">
        <f>H15-G15</f>
        <v>31000</v>
      </c>
      <c r="J15" s="32">
        <f>F15+I15</f>
        <v>79100</v>
      </c>
      <c r="K15" s="31">
        <v>150039</v>
      </c>
      <c r="L15" s="33">
        <v>1E-3</v>
      </c>
      <c r="M15" s="31">
        <v>8100</v>
      </c>
      <c r="N15" s="34">
        <f>M15/K15</f>
        <v>5.3985963649451144E-2</v>
      </c>
      <c r="O15" s="31">
        <v>3600</v>
      </c>
      <c r="P15" s="32">
        <f>M15-O15</f>
        <v>4500</v>
      </c>
      <c r="Q15" s="34">
        <f>P15/K15</f>
        <v>2.9992202027472856E-2</v>
      </c>
      <c r="R15" s="31">
        <v>2200</v>
      </c>
      <c r="S15" s="34">
        <f>R15/K15</f>
        <v>1.4662854324542285E-2</v>
      </c>
      <c r="T15" s="35">
        <f>I15/M15</f>
        <v>3.8271604938271606</v>
      </c>
      <c r="U15" s="71">
        <f>J15/K15</f>
        <v>0.52719626230513394</v>
      </c>
      <c r="V15" s="71">
        <f>J15/M15</f>
        <v>9.7654320987654319</v>
      </c>
      <c r="W15" s="71">
        <f>J15/P15</f>
        <v>17.577777777777779</v>
      </c>
      <c r="X15" s="72">
        <f>F15/R15</f>
        <v>21.863636363636363</v>
      </c>
    </row>
    <row r="16" spans="1:24" ht="15" customHeight="1" x14ac:dyDescent="0.25">
      <c r="A16" s="5"/>
      <c r="X16" s="6"/>
    </row>
    <row r="17" spans="1:24" ht="12" customHeight="1" x14ac:dyDescent="0.25">
      <c r="A17" s="78" t="s">
        <v>45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</row>
    <row r="18" spans="1:24" ht="15" customHeight="1" x14ac:dyDescent="0.25">
      <c r="A18" s="79" t="s">
        <v>46</v>
      </c>
      <c r="B18" s="79"/>
      <c r="C18" s="79"/>
      <c r="D18" s="36"/>
      <c r="E18" s="36"/>
      <c r="F18" s="36"/>
      <c r="G18" s="36"/>
      <c r="H18" s="36"/>
      <c r="I18" s="36"/>
      <c r="J18" s="36"/>
      <c r="K18" s="36"/>
      <c r="L18" s="37">
        <f>MAX(L12:L15)</f>
        <v>5.6000000000000001E-2</v>
      </c>
      <c r="M18" s="36"/>
      <c r="N18" s="38">
        <f>MAX(N12:N15)</f>
        <v>6.2871835294559239E-2</v>
      </c>
      <c r="O18" s="36"/>
      <c r="P18" s="36"/>
      <c r="Q18" s="38">
        <f>MAX(Q12:Q15)</f>
        <v>4.2227352063509936E-2</v>
      </c>
      <c r="R18" s="36"/>
      <c r="S18" s="38">
        <f>MAX(S12:S15)</f>
        <v>3.0966724846573954E-2</v>
      </c>
      <c r="T18" s="39">
        <f>MAX(T12:T15)</f>
        <v>3.8271604938271606</v>
      </c>
      <c r="U18" s="40">
        <f>MAX(U12:U15)</f>
        <v>1.1922701908957416</v>
      </c>
      <c r="V18" s="40">
        <f>MAX(V12:V15)</f>
        <v>22.807191011235954</v>
      </c>
      <c r="W18" s="40">
        <f>MAX(W12:W15)</f>
        <v>33.005528455284555</v>
      </c>
      <c r="X18" s="41">
        <f t="shared" ref="X18" si="0">MAX(X12:X15)</f>
        <v>39.785567010309279</v>
      </c>
    </row>
    <row r="19" spans="1:24" ht="15" customHeight="1" x14ac:dyDescent="0.25">
      <c r="A19" s="79" t="s">
        <v>47</v>
      </c>
      <c r="B19" s="79"/>
      <c r="C19" s="79"/>
      <c r="D19" s="36"/>
      <c r="E19" s="36"/>
      <c r="F19" s="36"/>
      <c r="G19" s="36"/>
      <c r="H19" s="36"/>
      <c r="I19" s="36"/>
      <c r="J19" s="36"/>
      <c r="K19" s="36"/>
      <c r="L19" s="37">
        <f>PERCENTILE(L12:L15,0.75)</f>
        <v>5.2249999999999998E-2</v>
      </c>
      <c r="M19" s="36"/>
      <c r="N19" s="38">
        <f>PERCENTILE(N12:N15,0.75)</f>
        <v>5.6207431560728167E-2</v>
      </c>
      <c r="O19" s="36"/>
      <c r="P19" s="36"/>
      <c r="Q19" s="38">
        <f>PERCENTILE(Q12:Q15,0.75)</f>
        <v>3.7649349029093344E-2</v>
      </c>
      <c r="R19" s="36"/>
      <c r="S19" s="38">
        <f>PERCENTILE(S12:S15,0.75)</f>
        <v>2.9376296596258875E-2</v>
      </c>
      <c r="T19" s="39">
        <f>PERCENTILE(T12:T15,0.75)</f>
        <v>2.4455960936060439</v>
      </c>
      <c r="U19" s="40">
        <f>PERCENTILE(U12:U15,0.75)</f>
        <v>0.80047450679155541</v>
      </c>
      <c r="V19" s="40">
        <f>PERCENTILE(V12:V15,0.75)</f>
        <v>14.44270684371808</v>
      </c>
      <c r="W19" s="40">
        <f>PERCENTILE(W12:W15,0.75)</f>
        <v>21.434715447154474</v>
      </c>
      <c r="X19" s="41">
        <f t="shared" ref="X19" si="1">PERCENTILE(X12:X15,0.75)</f>
        <v>26.344119025304593</v>
      </c>
    </row>
    <row r="20" spans="1:24" ht="15" customHeight="1" x14ac:dyDescent="0.25">
      <c r="A20" s="80" t="s">
        <v>48</v>
      </c>
      <c r="B20" s="80"/>
      <c r="C20" s="80"/>
      <c r="D20" s="42"/>
      <c r="E20" s="42"/>
      <c r="F20" s="42"/>
      <c r="G20" s="42"/>
      <c r="H20" s="42"/>
      <c r="I20" s="42"/>
      <c r="J20" s="42"/>
      <c r="K20" s="42"/>
      <c r="L20" s="43">
        <f>MEDIAN(L12:L15)</f>
        <v>2.5999999999999999E-2</v>
      </c>
      <c r="M20" s="42"/>
      <c r="N20" s="44">
        <f>MEDIAN(N12:N15)</f>
        <v>5.343528951703326E-2</v>
      </c>
      <c r="O20" s="42"/>
      <c r="P20" s="42"/>
      <c r="Q20" s="44">
        <f>MEDIAN(Q12:Q15)</f>
        <v>3.5850135547272108E-2</v>
      </c>
      <c r="R20" s="42"/>
      <c r="S20" s="44">
        <f>MEDIAN(S12:S15)</f>
        <v>2.8666836100756807E-2</v>
      </c>
      <c r="T20" s="45">
        <f>MEDIAN(T12:T15)</f>
        <v>1.7061736770691995</v>
      </c>
      <c r="U20" s="46">
        <f>MEDIAN(U12:U15)</f>
        <v>0.64311104963482357</v>
      </c>
      <c r="V20" s="46">
        <f>MEDIAN(V12:V15)</f>
        <v>11.154586160108547</v>
      </c>
      <c r="W20" s="46">
        <f>MEDIAN(W12:W15)</f>
        <v>17.451051051051053</v>
      </c>
      <c r="X20" s="47">
        <f t="shared" ref="X20" si="2">MEDIAN(X12:X15)</f>
        <v>20.30681818181818</v>
      </c>
    </row>
    <row r="21" spans="1:24" ht="15" customHeight="1" x14ac:dyDescent="0.25">
      <c r="A21" s="80" t="s">
        <v>49</v>
      </c>
      <c r="B21" s="80"/>
      <c r="C21" s="80"/>
      <c r="D21" s="42"/>
      <c r="E21" s="42"/>
      <c r="F21" s="42"/>
      <c r="G21" s="42"/>
      <c r="H21" s="42"/>
      <c r="I21" s="42"/>
      <c r="J21" s="42"/>
      <c r="K21" s="42"/>
      <c r="L21" s="43">
        <f>AVERAGE(L12:L15)</f>
        <v>2.1249999999999998E-2</v>
      </c>
      <c r="M21" s="42"/>
      <c r="N21" s="44">
        <f>AVERAGE(N12:N15)</f>
        <v>5.5504619734873042E-2</v>
      </c>
      <c r="O21" s="42"/>
      <c r="P21" s="42"/>
      <c r="Q21" s="44">
        <f>AVERAGE(Q12:Q15)</f>
        <v>3.5979956296381753E-2</v>
      </c>
      <c r="R21" s="42"/>
      <c r="S21" s="44">
        <f>AVERAGE(S12:S15)</f>
        <v>2.5740812843157462E-2</v>
      </c>
      <c r="T21" s="45">
        <f>AVERAGE(T12:T15)</f>
        <v>2.0914499956992554</v>
      </c>
      <c r="U21" s="46">
        <f>AVERAGE(U12:U15)</f>
        <v>0.7514221381176307</v>
      </c>
      <c r="V21" s="46">
        <f>AVERAGE(V12:V15)</f>
        <v>13.72044885755462</v>
      </c>
      <c r="W21" s="46">
        <f>AVERAGE(W12:W15)</f>
        <v>20.942796528235554</v>
      </c>
      <c r="X21" s="47">
        <f t="shared" ref="X21" si="3">AVERAGE(X12:X15)</f>
        <v>24.500255388940953</v>
      </c>
    </row>
    <row r="22" spans="1:24" ht="15" customHeight="1" x14ac:dyDescent="0.25">
      <c r="A22" s="79" t="s">
        <v>50</v>
      </c>
      <c r="B22" s="79"/>
      <c r="C22" s="79"/>
      <c r="D22" s="36"/>
      <c r="E22" s="36"/>
      <c r="F22" s="36"/>
      <c r="G22" s="36"/>
      <c r="H22" s="36"/>
      <c r="I22" s="36"/>
      <c r="J22" s="36"/>
      <c r="K22" s="36"/>
      <c r="L22" s="37">
        <f>PERCENTILE(L12:L15,0.25)</f>
        <v>-4.9999999999999975E-3</v>
      </c>
      <c r="M22" s="36"/>
      <c r="N22" s="38">
        <f>PERCENTILE(N12:N15,0.25)</f>
        <v>5.2732477691178128E-2</v>
      </c>
      <c r="O22" s="36"/>
      <c r="P22" s="36"/>
      <c r="Q22" s="38">
        <f>PERCENTILE(Q12:Q15,0.25)</f>
        <v>3.4180742814560523E-2</v>
      </c>
      <c r="R22" s="36"/>
      <c r="S22" s="38">
        <f>PERCENTILE(S12:S15,0.25)</f>
        <v>2.5031352347655397E-2</v>
      </c>
      <c r="T22" s="39">
        <f>PERCENTILE(T12:T15,0.25)</f>
        <v>1.3520275791624106</v>
      </c>
      <c r="U22" s="40">
        <f>PERCENTILE(U12:U15,0.25)</f>
        <v>0.59405868096089887</v>
      </c>
      <c r="V22" s="40">
        <f>PERCENTILE(V12:V15,0.25)</f>
        <v>10.432328173945089</v>
      </c>
      <c r="W22" s="40">
        <f>PERCENTILE(W12:W15,0.25)</f>
        <v>16.95913213213213</v>
      </c>
      <c r="X22" s="41">
        <f t="shared" ref="X22" si="4">PERCENTILE(X12:X15,0.25)</f>
        <v>18.462954545454544</v>
      </c>
    </row>
    <row r="23" spans="1:24" ht="15" customHeight="1" x14ac:dyDescent="0.25">
      <c r="A23" s="81" t="s">
        <v>51</v>
      </c>
      <c r="B23" s="81"/>
      <c r="C23" s="81"/>
      <c r="D23" s="48"/>
      <c r="E23" s="48"/>
      <c r="F23" s="48"/>
      <c r="G23" s="48"/>
      <c r="H23" s="48"/>
      <c r="I23" s="48"/>
      <c r="J23" s="48"/>
      <c r="K23" s="48"/>
      <c r="L23" s="49">
        <f>MIN(L12:L15)</f>
        <v>-2.3E-2</v>
      </c>
      <c r="M23" s="48"/>
      <c r="N23" s="50">
        <f>MIN(N12:N15)</f>
        <v>5.2276064610866375E-2</v>
      </c>
      <c r="O23" s="48"/>
      <c r="P23" s="48"/>
      <c r="Q23" s="50">
        <f>MIN(Q12:Q15)</f>
        <v>2.9992202027472856E-2</v>
      </c>
      <c r="R23" s="48"/>
      <c r="S23" s="50">
        <f>MIN(S12:S15)</f>
        <v>1.4662854324542285E-2</v>
      </c>
      <c r="T23" s="51">
        <f t="shared" ref="T23:X23" si="5">MIN(T12:T15)</f>
        <v>1.1262921348314607</v>
      </c>
      <c r="U23" s="52">
        <f>MIN(U12:U15)</f>
        <v>0.52719626230513394</v>
      </c>
      <c r="V23" s="52">
        <f>MIN(V12:V15)</f>
        <v>9.7654320987654319</v>
      </c>
      <c r="W23" s="52">
        <f>MIN(W12:W15)</f>
        <v>15.863555555555555</v>
      </c>
      <c r="X23" s="53">
        <f t="shared" si="5"/>
        <v>17.601818181818182</v>
      </c>
    </row>
    <row r="24" spans="1:24" ht="15" customHeight="1" x14ac:dyDescent="0.25"/>
    <row r="25" spans="1:24" ht="13.5" customHeight="1" x14ac:dyDescent="0.25">
      <c r="A25" s="82" t="s">
        <v>52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</row>
    <row r="26" spans="1:24" ht="13.5" customHeight="1" x14ac:dyDescent="0.25">
      <c r="A26" s="5"/>
      <c r="D26" s="83" t="s">
        <v>53</v>
      </c>
      <c r="E26" s="83"/>
      <c r="F26" s="83"/>
      <c r="G26" s="83" t="s">
        <v>54</v>
      </c>
      <c r="H26" s="83"/>
      <c r="I26" s="83"/>
      <c r="J26" s="83" t="s">
        <v>55</v>
      </c>
      <c r="K26" s="83"/>
      <c r="L26" s="83"/>
      <c r="M26" s="83" t="s">
        <v>29</v>
      </c>
      <c r="N26" s="83"/>
      <c r="O26" s="83"/>
      <c r="P26" s="54"/>
      <c r="Q26" s="54"/>
      <c r="R26" s="54"/>
      <c r="S26" s="54"/>
      <c r="T26" s="54"/>
      <c r="U26" s="54"/>
      <c r="V26" s="54"/>
      <c r="W26" s="54"/>
      <c r="X26" s="55"/>
    </row>
    <row r="27" spans="1:24" ht="15" customHeight="1" x14ac:dyDescent="0.25">
      <c r="A27" s="5"/>
      <c r="D27" s="56" t="s">
        <v>51</v>
      </c>
      <c r="E27" s="57" t="s">
        <v>48</v>
      </c>
      <c r="F27" s="56" t="s">
        <v>46</v>
      </c>
      <c r="G27" s="56" t="s">
        <v>51</v>
      </c>
      <c r="H27" s="57" t="s">
        <v>48</v>
      </c>
      <c r="I27" s="56" t="s">
        <v>46</v>
      </c>
      <c r="J27" s="56" t="s">
        <v>51</v>
      </c>
      <c r="K27" s="57" t="s">
        <v>48</v>
      </c>
      <c r="L27" s="56" t="s">
        <v>46</v>
      </c>
      <c r="M27" s="56" t="s">
        <v>51</v>
      </c>
      <c r="N27" s="57" t="s">
        <v>48</v>
      </c>
      <c r="O27" s="56" t="s">
        <v>46</v>
      </c>
      <c r="P27" s="54"/>
      <c r="Q27" s="54"/>
      <c r="R27" s="54"/>
      <c r="S27" s="54"/>
      <c r="T27" s="54"/>
      <c r="U27" s="54"/>
      <c r="V27" s="54"/>
      <c r="W27" s="54"/>
      <c r="X27" s="55"/>
    </row>
    <row r="28" spans="1:24" ht="15" customHeight="1" x14ac:dyDescent="0.25">
      <c r="A28" s="84" t="s">
        <v>56</v>
      </c>
      <c r="B28" s="84"/>
      <c r="C28" s="84"/>
      <c r="D28" s="58">
        <f>U23*K9</f>
        <v>133912.59539186477</v>
      </c>
      <c r="E28" s="59">
        <f>U20*K9</f>
        <v>163355.99460669191</v>
      </c>
      <c r="F28" s="58">
        <f>U18*K9</f>
        <v>302847.3589192364</v>
      </c>
      <c r="G28" s="58">
        <f>V23*M9</f>
        <v>112790.74074074074</v>
      </c>
      <c r="H28" s="59">
        <f>V20*M9</f>
        <v>128835.47014925371</v>
      </c>
      <c r="I28" s="58">
        <f>V18*M9</f>
        <v>263423.05617977527</v>
      </c>
      <c r="J28" s="58">
        <f>W23*P9</f>
        <v>147293.11333333334</v>
      </c>
      <c r="K28" s="59">
        <f>W20*P9</f>
        <v>162033.00900900902</v>
      </c>
      <c r="L28" s="58">
        <f>W18*P9</f>
        <v>306456.33170731709</v>
      </c>
      <c r="M28" s="58">
        <f>X23*R9</f>
        <v>129672.59454545454</v>
      </c>
      <c r="N28" s="59">
        <f>X20*R9</f>
        <v>149600.32954545453</v>
      </c>
      <c r="O28" s="58">
        <f>X18*R9</f>
        <v>293100.27216494846</v>
      </c>
      <c r="P28" s="54"/>
      <c r="Q28" s="54"/>
      <c r="R28" s="54"/>
      <c r="S28" s="54"/>
      <c r="T28" s="54"/>
      <c r="U28" s="54"/>
      <c r="V28" s="54"/>
      <c r="W28" s="54"/>
      <c r="X28" s="55"/>
    </row>
    <row r="29" spans="1:24" ht="15" customHeight="1" x14ac:dyDescent="0.25">
      <c r="A29" s="87" t="s">
        <v>57</v>
      </c>
      <c r="B29" s="87"/>
      <c r="C29" s="87"/>
      <c r="D29" s="58">
        <f>I9</f>
        <v>-3179</v>
      </c>
      <c r="E29" s="59">
        <f>I9</f>
        <v>-3179</v>
      </c>
      <c r="F29" s="58">
        <f>I9</f>
        <v>-3179</v>
      </c>
      <c r="G29" s="58">
        <f>I9</f>
        <v>-3179</v>
      </c>
      <c r="H29" s="59">
        <f>I9</f>
        <v>-3179</v>
      </c>
      <c r="I29" s="58">
        <f>I9</f>
        <v>-3179</v>
      </c>
      <c r="J29" s="58">
        <f>I9</f>
        <v>-3179</v>
      </c>
      <c r="K29" s="59">
        <f>I9</f>
        <v>-3179</v>
      </c>
      <c r="L29" s="58">
        <f>I9</f>
        <v>-3179</v>
      </c>
      <c r="M29" s="58">
        <f>I9</f>
        <v>-3179</v>
      </c>
      <c r="N29" s="59">
        <f>I9</f>
        <v>-3179</v>
      </c>
      <c r="O29" s="58">
        <f>I9</f>
        <v>-3179</v>
      </c>
      <c r="P29" s="54"/>
      <c r="Q29" s="54"/>
      <c r="R29" s="54"/>
      <c r="S29" s="54"/>
      <c r="T29" s="54"/>
      <c r="U29" s="54"/>
      <c r="V29" s="54"/>
      <c r="W29" s="54"/>
      <c r="X29" s="55"/>
    </row>
    <row r="30" spans="1:24" ht="15" customHeight="1" x14ac:dyDescent="0.25">
      <c r="A30" s="84" t="s">
        <v>58</v>
      </c>
      <c r="B30" s="84"/>
      <c r="C30" s="84"/>
      <c r="D30" s="60">
        <f>D28-I9</f>
        <v>137091.59539186477</v>
      </c>
      <c r="E30" s="61">
        <f>E28-I9</f>
        <v>166534.99460669191</v>
      </c>
      <c r="F30" s="60">
        <f>F28-I9</f>
        <v>306026.3589192364</v>
      </c>
      <c r="G30" s="60">
        <f>G28-I9</f>
        <v>115969.74074074074</v>
      </c>
      <c r="H30" s="61">
        <f>H28-I9</f>
        <v>132014.47014925373</v>
      </c>
      <c r="I30" s="60">
        <f>I28-I9</f>
        <v>266602.05617977527</v>
      </c>
      <c r="J30" s="60">
        <f>J28-I9</f>
        <v>150472.11333333334</v>
      </c>
      <c r="K30" s="61">
        <f>K28-I9</f>
        <v>165212.00900900902</v>
      </c>
      <c r="L30" s="60">
        <f>L28-I9</f>
        <v>309635.33170731709</v>
      </c>
      <c r="M30" s="60">
        <f>M28</f>
        <v>129672.59454545454</v>
      </c>
      <c r="N30" s="61">
        <f>N28</f>
        <v>149600.32954545453</v>
      </c>
      <c r="O30" s="60">
        <f>O28</f>
        <v>293100.27216494846</v>
      </c>
      <c r="P30" s="54"/>
      <c r="Q30" s="54"/>
      <c r="R30" s="54"/>
      <c r="S30" s="54"/>
      <c r="T30" s="54"/>
      <c r="U30" s="54"/>
      <c r="V30" s="54"/>
      <c r="W30" s="54"/>
      <c r="X30" s="55"/>
    </row>
    <row r="31" spans="1:24" ht="15" customHeight="1" x14ac:dyDescent="0.25">
      <c r="A31" s="87" t="s">
        <v>59</v>
      </c>
      <c r="B31" s="87"/>
      <c r="C31" s="87"/>
      <c r="D31" s="58">
        <f>E9</f>
        <v>443</v>
      </c>
      <c r="E31" s="59">
        <f>E9</f>
        <v>443</v>
      </c>
      <c r="F31" s="58">
        <f>E9</f>
        <v>443</v>
      </c>
      <c r="G31" s="58">
        <f>E9</f>
        <v>443</v>
      </c>
      <c r="H31" s="59">
        <f>E9</f>
        <v>443</v>
      </c>
      <c r="I31" s="58">
        <f>E9</f>
        <v>443</v>
      </c>
      <c r="J31" s="58">
        <f>E9</f>
        <v>443</v>
      </c>
      <c r="K31" s="59">
        <f>E9</f>
        <v>443</v>
      </c>
      <c r="L31" s="58">
        <f>E9</f>
        <v>443</v>
      </c>
      <c r="M31" s="58">
        <f>E9</f>
        <v>443</v>
      </c>
      <c r="N31" s="59">
        <f>E9</f>
        <v>443</v>
      </c>
      <c r="O31" s="58">
        <f>E9</f>
        <v>443</v>
      </c>
      <c r="P31" s="54"/>
      <c r="Q31" s="54"/>
      <c r="R31" s="54"/>
      <c r="S31" s="54"/>
      <c r="T31" s="54"/>
      <c r="U31" s="54"/>
      <c r="V31" s="54"/>
      <c r="W31" s="54"/>
      <c r="X31" s="55"/>
    </row>
    <row r="32" spans="1:24" ht="15" customHeight="1" x14ac:dyDescent="0.25">
      <c r="A32" s="80" t="s">
        <v>60</v>
      </c>
      <c r="B32" s="80"/>
      <c r="C32" s="80"/>
      <c r="D32" s="62">
        <f>D30/D31</f>
        <v>309.46184061369024</v>
      </c>
      <c r="E32" s="63">
        <f>E30/E31</f>
        <v>375.92549572616684</v>
      </c>
      <c r="F32" s="62">
        <f t="shared" ref="F32:L32" si="6">F30/F31</f>
        <v>690.80442193958561</v>
      </c>
      <c r="G32" s="62">
        <f t="shared" si="6"/>
        <v>261.78271047571275</v>
      </c>
      <c r="H32" s="63">
        <f t="shared" si="6"/>
        <v>298.00106128499715</v>
      </c>
      <c r="I32" s="62">
        <f t="shared" si="6"/>
        <v>601.81051056382682</v>
      </c>
      <c r="J32" s="62">
        <f t="shared" si="6"/>
        <v>339.66617005267119</v>
      </c>
      <c r="K32" s="63">
        <f>K30/K31</f>
        <v>372.93907225509935</v>
      </c>
      <c r="L32" s="62">
        <f t="shared" si="6"/>
        <v>698.95108737543364</v>
      </c>
      <c r="M32" s="62">
        <f>M30/M31</f>
        <v>292.71466037348654</v>
      </c>
      <c r="N32" s="63">
        <f>N30/N31</f>
        <v>337.69826082495376</v>
      </c>
      <c r="O32" s="62">
        <f>O30/O31</f>
        <v>661.62589653487237</v>
      </c>
      <c r="P32" s="54"/>
      <c r="Q32" s="54"/>
      <c r="R32" s="54"/>
      <c r="S32" s="54"/>
      <c r="T32" s="54"/>
      <c r="U32" s="54"/>
      <c r="V32" s="54"/>
      <c r="W32" s="54"/>
      <c r="X32" s="55"/>
    </row>
    <row r="33" spans="1:24" ht="15" customHeight="1" x14ac:dyDescent="0.25">
      <c r="A33" s="87" t="s">
        <v>61</v>
      </c>
      <c r="B33" s="87"/>
      <c r="C33" s="87"/>
      <c r="D33" s="64">
        <f>D9</f>
        <v>1028</v>
      </c>
      <c r="E33" s="65">
        <f>D9</f>
        <v>1028</v>
      </c>
      <c r="F33" s="64">
        <f>D9</f>
        <v>1028</v>
      </c>
      <c r="G33" s="64">
        <f>D9</f>
        <v>1028</v>
      </c>
      <c r="H33" s="65">
        <f>D9</f>
        <v>1028</v>
      </c>
      <c r="I33" s="64">
        <f>D9</f>
        <v>1028</v>
      </c>
      <c r="J33" s="64">
        <f>D9</f>
        <v>1028</v>
      </c>
      <c r="K33" s="65">
        <f>D9</f>
        <v>1028</v>
      </c>
      <c r="L33" s="64">
        <f>D9</f>
        <v>1028</v>
      </c>
      <c r="M33" s="64">
        <f>D9</f>
        <v>1028</v>
      </c>
      <c r="N33" s="65">
        <f>D9</f>
        <v>1028</v>
      </c>
      <c r="O33" s="64">
        <f>D9</f>
        <v>1028</v>
      </c>
      <c r="P33" s="54"/>
      <c r="Q33" s="54"/>
      <c r="R33" s="54"/>
      <c r="S33" s="54"/>
      <c r="T33" s="54"/>
      <c r="U33" s="54"/>
      <c r="V33" s="54"/>
      <c r="W33" s="54"/>
      <c r="X33" s="55"/>
    </row>
    <row r="34" spans="1:24" ht="15" customHeight="1" x14ac:dyDescent="0.25">
      <c r="A34" s="85" t="s">
        <v>62</v>
      </c>
      <c r="B34" s="85"/>
      <c r="C34" s="85"/>
      <c r="D34" s="50">
        <f>(D32-D9)/D9</f>
        <v>-0.69896708111508732</v>
      </c>
      <c r="E34" s="66">
        <f>(E32-D9)/D9</f>
        <v>-0.63431372011073262</v>
      </c>
      <c r="F34" s="50">
        <f>(F32-D9)/D9</f>
        <v>-0.32801126270468328</v>
      </c>
      <c r="G34" s="50">
        <f>(G32-D9)/D9</f>
        <v>-0.74534755790300311</v>
      </c>
      <c r="H34" s="66">
        <f>(H32-D9)/D9</f>
        <v>-0.71011569913910788</v>
      </c>
      <c r="I34" s="50">
        <f>(I32-D9)/D9</f>
        <v>-0.41458121540483772</v>
      </c>
      <c r="J34" s="50">
        <f>(J32-D9)/D9</f>
        <v>-0.66958543769195411</v>
      </c>
      <c r="K34" s="66">
        <f>(K32-D9)/D9</f>
        <v>-0.63721880130826913</v>
      </c>
      <c r="L34" s="50">
        <f>(L32-D9)/D9</f>
        <v>-0.32008649087992835</v>
      </c>
      <c r="M34" s="50">
        <f>(M32-D9)/D9</f>
        <v>-0.7152581124771531</v>
      </c>
      <c r="N34" s="66">
        <f>(N32-D9)/D9</f>
        <v>-0.67149974627922782</v>
      </c>
      <c r="O34" s="50">
        <f>(O32-D9)/D9</f>
        <v>-0.35639504228125257</v>
      </c>
      <c r="P34" s="67"/>
      <c r="Q34" s="67"/>
      <c r="R34" s="67"/>
      <c r="S34" s="67"/>
      <c r="T34" s="67"/>
      <c r="U34" s="67"/>
      <c r="V34" s="67"/>
      <c r="W34" s="67"/>
      <c r="X34" s="68"/>
    </row>
    <row r="35" spans="1:24" ht="15" customHeight="1" x14ac:dyDescent="0.25"/>
    <row r="36" spans="1:24" ht="24" customHeight="1" x14ac:dyDescent="0.25">
      <c r="A36" s="86" t="s">
        <v>63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</row>
    <row r="37" spans="1:24" ht="15" customHeight="1" x14ac:dyDescent="0.25"/>
    <row r="38" spans="1:24" ht="15" customHeight="1" x14ac:dyDescent="0.25"/>
  </sheetData>
  <mergeCells count="28">
    <mergeCell ref="A34:C34"/>
    <mergeCell ref="A36:X36"/>
    <mergeCell ref="A29:C29"/>
    <mergeCell ref="A30:C30"/>
    <mergeCell ref="A31:C31"/>
    <mergeCell ref="A32:C32"/>
    <mergeCell ref="A33:C33"/>
    <mergeCell ref="D26:F26"/>
    <mergeCell ref="G26:I26"/>
    <mergeCell ref="J26:L26"/>
    <mergeCell ref="M26:O26"/>
    <mergeCell ref="A28:C28"/>
    <mergeCell ref="A20:C20"/>
    <mergeCell ref="A21:C21"/>
    <mergeCell ref="A22:C22"/>
    <mergeCell ref="A23:C23"/>
    <mergeCell ref="A25:X25"/>
    <mergeCell ref="A8:X8"/>
    <mergeCell ref="A11:X11"/>
    <mergeCell ref="A17:X17"/>
    <mergeCell ref="A18:C18"/>
    <mergeCell ref="A19:C19"/>
    <mergeCell ref="A2:X2"/>
    <mergeCell ref="A3:X3"/>
    <mergeCell ref="A5:C5"/>
    <mergeCell ref="D5:J5"/>
    <mergeCell ref="K5:S5"/>
    <mergeCell ref="U5:X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asad mahmood</cp:lastModifiedBy>
  <cp:revision>0</cp:revision>
  <dcterms:created xsi:type="dcterms:W3CDTF">2021-12-06T10:27:27Z</dcterms:created>
  <dcterms:modified xsi:type="dcterms:W3CDTF">2026-06-04T11:44:22Z</dcterms:modified>
  <dc:language>en-US</dc:language>
</cp:coreProperties>
</file>